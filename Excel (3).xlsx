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2d1807cdf38b18b9/Documents/"/>
    </mc:Choice>
  </mc:AlternateContent>
  <xr:revisionPtr revIDLastSave="2" documentId="8_{FEA515FC-6068-453A-8F63-F93D9BA512BE}" xr6:coauthVersionLast="47" xr6:coauthVersionMax="47" xr10:uidLastSave="{E01B82B7-F8EC-4315-8F00-05E76EED3E01}"/>
  <bookViews>
    <workbookView xWindow="-110" yWindow="-110" windowWidth="19420" windowHeight="11500" xr2:uid="{FC58D90C-1A3C-443B-B697-967E52D2C17A}"/>
  </bookViews>
  <sheets>
    <sheet name="Data_quality" sheetId="3" r:id="rId1"/>
    <sheet name="Category_Analysis" sheetId="4" r:id="rId2"/>
    <sheet name="Price Analysis" sheetId="11" r:id="rId3"/>
    <sheet name="Discount Analysis" sheetId="12" r:id="rId4"/>
    <sheet name="Rating Analysis" sheetId="14" r:id="rId5"/>
    <sheet name="Insights" sheetId="9" r:id="rId6"/>
    <sheet name="Pivot Analysis" sheetId="10" r:id="rId7"/>
  </sheets>
  <definedNames>
    <definedName name="_xlnm._FilterDatabase" localSheetId="1" hidden="1">Category_Analysis!$A$4:$C$16</definedName>
  </definedNames>
  <calcPr calcId="191029"/>
  <pivotCaches>
    <pivotCache cacheId="0" r:id="rId8"/>
    <pivotCache cacheId="1" r:id="rId9"/>
    <pivotCache cacheId="2" r:id="rId10"/>
    <pivotCache cacheId="3" r:id="rId11"/>
    <pivotCache cacheId="4" r:id="rId1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2" l="1"/>
  <c r="B4" i="12"/>
  <c r="B3" i="12"/>
  <c r="B2" i="14"/>
  <c r="B4" i="14"/>
  <c r="B3" i="14"/>
  <c r="B2" i="11"/>
  <c r="B5" i="11"/>
  <c r="B4" i="11"/>
  <c r="B3" i="11"/>
  <c r="C5" i="4"/>
  <c r="C6" i="4"/>
  <c r="C7" i="4"/>
  <c r="C8" i="4"/>
  <c r="C9" i="4"/>
  <c r="C10" i="4"/>
  <c r="C11" i="4"/>
  <c r="C12" i="4"/>
  <c r="C13" i="4"/>
  <c r="C14" i="4"/>
  <c r="C15" i="4"/>
  <c r="C16" i="4"/>
</calcChain>
</file>

<file path=xl/sharedStrings.xml><?xml version="1.0" encoding="utf-8"?>
<sst xmlns="http://schemas.openxmlformats.org/spreadsheetml/2006/main" count="275" uniqueCount="139">
  <si>
    <t>Product_Price</t>
  </si>
  <si>
    <t>Original_Price</t>
  </si>
  <si>
    <t>Product_Rating</t>
  </si>
  <si>
    <t>Num_Ratings</t>
  </si>
  <si>
    <t>Smartphone</t>
  </si>
  <si>
    <t>Laptop</t>
  </si>
  <si>
    <t>Headphones</t>
  </si>
  <si>
    <t>Smartwatch</t>
  </si>
  <si>
    <t>Tablet</t>
  </si>
  <si>
    <t>Earbuds</t>
  </si>
  <si>
    <t>Television</t>
  </si>
  <si>
    <t>Refrigerator</t>
  </si>
  <si>
    <t>Washing Machine</t>
  </si>
  <si>
    <t>Air Conditioner</t>
  </si>
  <si>
    <t>Camera</t>
  </si>
  <si>
    <t>Gaming Console</t>
  </si>
  <si>
    <t>Duplicate</t>
  </si>
  <si>
    <t>Decision</t>
  </si>
  <si>
    <t>No</t>
  </si>
  <si>
    <t>Keep</t>
  </si>
  <si>
    <t>COLUMN REMOVAL LOG</t>
  </si>
  <si>
    <t>Reason</t>
  </si>
  <si>
    <t>Currency</t>
  </si>
  <si>
    <t>Remove</t>
  </si>
  <si>
    <t>Not needed because analysis uses INR</t>
  </si>
  <si>
    <t>Not required for Excel analysis</t>
  </si>
  <si>
    <t xml:space="preserve"> DUPLICATE CHECK</t>
  </si>
  <si>
    <t>DATA QUALITY CHECK</t>
  </si>
  <si>
    <t>Total Records</t>
  </si>
  <si>
    <t>Total Columns</t>
  </si>
  <si>
    <t xml:space="preserve">Missing Product Titles </t>
  </si>
  <si>
    <t>Missing Categories</t>
  </si>
  <si>
    <t xml:space="preserve">Product Photo </t>
  </si>
  <si>
    <t>Duplicate ASINs</t>
  </si>
  <si>
    <t>Missing Product Price</t>
  </si>
  <si>
    <t>Missing Original Price</t>
  </si>
  <si>
    <t>Missing Discount</t>
  </si>
  <si>
    <t>Missing Product Rating</t>
  </si>
  <si>
    <t>Missing Num Rating</t>
  </si>
  <si>
    <t>Missing Num Offers</t>
  </si>
  <si>
    <t>Missing Is Prime</t>
  </si>
  <si>
    <t>Missing Best Seller</t>
  </si>
  <si>
    <t>Missing Is Amazon Choice</t>
  </si>
  <si>
    <t>Missiong Is Climate Edge Friendly</t>
  </si>
  <si>
    <t>Missing Scraped At</t>
  </si>
  <si>
    <t>AMAZON INDIA — CATEGORY ANALYSIS</t>
  </si>
  <si>
    <t>Row Labels</t>
  </si>
  <si>
    <t>Grand Total</t>
  </si>
  <si>
    <t>Count of Product_Title</t>
  </si>
  <si>
    <t>Product Count by Category</t>
  </si>
  <si>
    <t>Category Share %</t>
  </si>
  <si>
    <t>Average of Product_Price</t>
  </si>
  <si>
    <t>Average of Product_Rating</t>
  </si>
  <si>
    <t>Average of discount</t>
  </si>
  <si>
    <t>Analysis</t>
  </si>
  <si>
    <t>Finding</t>
  </si>
  <si>
    <t>Business Interpretation</t>
  </si>
  <si>
    <t>Product Count</t>
  </si>
  <si>
    <t>Average Price</t>
  </si>
  <si>
    <t>Average Rating</t>
  </si>
  <si>
    <t>Average Discount</t>
  </si>
  <si>
    <t>Gaming Console has dominated in sales</t>
  </si>
  <si>
    <t>Largest product representation</t>
  </si>
  <si>
    <t>Category Television has ₹77991.16  average price</t>
  </si>
  <si>
    <t>Category Eashing Machine has 4.19 rating</t>
  </si>
  <si>
    <t>Category Smartwatch has 67.64% discount</t>
  </si>
  <si>
    <t>High priced category</t>
  </si>
  <si>
    <t>Top customer ratings</t>
  </si>
  <si>
    <t>More discount given category</t>
  </si>
  <si>
    <t>Price Analysis</t>
  </si>
  <si>
    <t>Value</t>
  </si>
  <si>
    <t>Minimum Price</t>
  </si>
  <si>
    <t>Maximum Price</t>
  </si>
  <si>
    <t>Median Price</t>
  </si>
  <si>
    <t xml:space="preserve">             Value</t>
  </si>
  <si>
    <t>₹1,000–₹5,000</t>
  </si>
  <si>
    <t>₹5,000–₹10,000</t>
  </si>
  <si>
    <t>₹500–₹1,000</t>
  </si>
  <si>
    <t>Above ₹10,000</t>
  </si>
  <si>
    <t>Under ₹500</t>
  </si>
  <si>
    <t>Blank cells</t>
  </si>
  <si>
    <t>% of Total</t>
  </si>
  <si>
    <t>Price Distribution</t>
  </si>
  <si>
    <t>Minimum sales  Price is ₹139.00</t>
  </si>
  <si>
    <t>Maximum sales price is ₹11,17,486.00</t>
  </si>
  <si>
    <t>Average sales price is ₹28,231.49</t>
  </si>
  <si>
    <t>Median sales price is ₹11,700.00</t>
  </si>
  <si>
    <t>51.85% in above ₹10,000 range</t>
  </si>
  <si>
    <t>Lowest-priced product in the dataset</t>
  </si>
  <si>
    <t>Highest-priced product in the dataset</t>
  </si>
  <si>
    <t>Overall average product price</t>
  </si>
  <si>
    <t>Typical middle price</t>
  </si>
  <si>
    <t>Dominant price range</t>
  </si>
  <si>
    <t>Rating Analysis</t>
  </si>
  <si>
    <t>Minimum Rating</t>
  </si>
  <si>
    <t>Maximum Rating</t>
  </si>
  <si>
    <t>Rating Range</t>
  </si>
  <si>
    <t>2.0–2.9</t>
  </si>
  <si>
    <t>3.0–3.9</t>
  </si>
  <si>
    <t>4.0–4.4</t>
  </si>
  <si>
    <t>4.5–5.0</t>
  </si>
  <si>
    <t>Below 2.0</t>
  </si>
  <si>
    <t>Not Rated</t>
  </si>
  <si>
    <t>Average of Num_Ratings</t>
  </si>
  <si>
    <t>Product Category</t>
  </si>
  <si>
    <t>Rating Distribution</t>
  </si>
  <si>
    <t>Highest Rated Category</t>
  </si>
  <si>
    <t>Lowest Rated Category</t>
  </si>
  <si>
    <t>Overall customer rating level</t>
  </si>
  <si>
    <t>Strong representation of highly rated products</t>
  </si>
  <si>
    <t>Category with strongest average rating</t>
  </si>
  <si>
    <t>Category with weakest average rating</t>
  </si>
  <si>
    <t>average product rating is 3.9</t>
  </si>
  <si>
    <t>10.11% rated 4.5+</t>
  </si>
  <si>
    <t>Gaming Console with average of 3.68 rating</t>
  </si>
  <si>
    <t>Washing Machine with average of 4.19 rating</t>
  </si>
  <si>
    <t>Discount Analysis</t>
  </si>
  <si>
    <t xml:space="preserve">   Value</t>
  </si>
  <si>
    <t>0–10%</t>
  </si>
  <si>
    <t>10–20%</t>
  </si>
  <si>
    <t>20–30%</t>
  </si>
  <si>
    <t>30–50%</t>
  </si>
  <si>
    <t>Above 50%</t>
  </si>
  <si>
    <t>No Discount</t>
  </si>
  <si>
    <t>Maximum Discount</t>
  </si>
  <si>
    <t>Overall discount level</t>
  </si>
  <si>
    <t>Highest discount observed</t>
  </si>
  <si>
    <t>Category with highest average discount</t>
  </si>
  <si>
    <t>Minimum Discount</t>
  </si>
  <si>
    <t>Minimun Discount</t>
  </si>
  <si>
    <t>Lowest discount observed</t>
  </si>
  <si>
    <t>Maximum discount is 93.50%</t>
  </si>
  <si>
    <t>Minimum discount is 0.10%</t>
  </si>
  <si>
    <t>Average discount is 40.95%</t>
  </si>
  <si>
    <t>Top Discounted Category</t>
  </si>
  <si>
    <t>Smartwatch with 67.64% of average discount</t>
  </si>
  <si>
    <t>Count of Product</t>
  </si>
  <si>
    <t xml:space="preserve"> Count of Product in %</t>
  </si>
  <si>
    <t>CATEGORY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</si>
</sst>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23">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D0D0D"/>
      <name val="Segoe UI"/>
      <family val="2"/>
    </font>
    <font>
      <b/>
      <sz val="11"/>
      <color theme="1" tint="4.9989318521683403E-2"/>
      <name val="Calibri"/>
      <family val="2"/>
      <scheme val="minor"/>
    </font>
    <font>
      <b/>
      <sz val="11"/>
      <color theme="1" tint="4.9989318521683403E-2"/>
      <name val="Segoe UI"/>
      <family val="2"/>
    </font>
    <font>
      <b/>
      <sz val="12"/>
      <color theme="9" tint="-0.499984740745262"/>
      <name val="Calibri"/>
      <family val="2"/>
      <scheme val="minor"/>
    </font>
    <font>
      <b/>
      <sz val="11"/>
      <color theme="9" tint="-0.24997711111789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0" fontId="0" fillId="0" borderId="0" xfId="0" applyNumberFormat="1"/>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2" fontId="0" fillId="0" borderId="0" xfId="0" applyNumberFormat="1"/>
    <xf numFmtId="0" fontId="16" fillId="0" borderId="0" xfId="0" applyFont="1"/>
    <xf numFmtId="165" fontId="0" fillId="0" borderId="0" xfId="0" applyNumberFormat="1"/>
    <xf numFmtId="0" fontId="0" fillId="0" borderId="10" xfId="0" applyBorder="1"/>
    <xf numFmtId="165" fontId="0" fillId="0" borderId="10" xfId="0" applyNumberFormat="1" applyBorder="1"/>
    <xf numFmtId="0" fontId="0" fillId="0" borderId="11" xfId="0" applyBorder="1"/>
    <xf numFmtId="0" fontId="1" fillId="33" borderId="0" xfId="20" applyFill="1"/>
    <xf numFmtId="0" fontId="16" fillId="33" borderId="0" xfId="0" applyFont="1" applyFill="1" applyAlignment="1">
      <alignment horizontal="center" vertical="center" wrapText="1"/>
    </xf>
    <xf numFmtId="164" fontId="16" fillId="33" borderId="0" xfId="0" applyNumberFormat="1" applyFont="1" applyFill="1"/>
    <xf numFmtId="0" fontId="16" fillId="33" borderId="0" xfId="0" applyFont="1" applyFill="1"/>
    <xf numFmtId="0" fontId="19" fillId="33" borderId="0" xfId="0" applyFont="1" applyFill="1"/>
    <xf numFmtId="0" fontId="20" fillId="33" borderId="0" xfId="0" applyFont="1" applyFill="1"/>
    <xf numFmtId="0" fontId="21" fillId="0" borderId="0" xfId="0" applyFont="1"/>
    <xf numFmtId="0" fontId="22"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4" formatCode="&quot;₹&quot;\ #,##0.00"/>
    </dxf>
    <dxf>
      <numFmt numFmtId="164" formatCode="&quot;₹&quot;\ #,##0.00"/>
    </dxf>
    <dxf>
      <numFmt numFmtId="164" formatCode="&quot;₹&quot;\ #,##0.00"/>
    </dxf>
    <dxf>
      <numFmt numFmtId="164" formatCode="&quot;₹&quot;\ #,##0.00"/>
    </dxf>
    <dxf>
      <numFmt numFmtId="14"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Excel.xlsx]Category_Analysis!PivotTable1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10 Product Categories by Product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Category_Analysis!$B$4</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Category_Analysis!$A$5:$A$16</c:f>
              <c:strCache>
                <c:ptCount val="11"/>
                <c:pt idx="0">
                  <c:v>Gaming Console</c:v>
                </c:pt>
                <c:pt idx="1">
                  <c:v>Television</c:v>
                </c:pt>
                <c:pt idx="2">
                  <c:v>Camera</c:v>
                </c:pt>
                <c:pt idx="3">
                  <c:v>Air Conditioner</c:v>
                </c:pt>
                <c:pt idx="4">
                  <c:v>Smartphone</c:v>
                </c:pt>
                <c:pt idx="5">
                  <c:v>Smartwatch</c:v>
                </c:pt>
                <c:pt idx="6">
                  <c:v>Tablet</c:v>
                </c:pt>
                <c:pt idx="7">
                  <c:v>Headphones</c:v>
                </c:pt>
                <c:pt idx="8">
                  <c:v>Washing Machine</c:v>
                </c:pt>
                <c:pt idx="9">
                  <c:v>Laptop</c:v>
                </c:pt>
                <c:pt idx="10">
                  <c:v>Refrigerator</c:v>
                </c:pt>
              </c:strCache>
            </c:strRef>
          </c:cat>
          <c:val>
            <c:numRef>
              <c:f>Category_Analysis!$B$5:$B$16</c:f>
              <c:numCache>
                <c:formatCode>General</c:formatCode>
                <c:ptCount val="11"/>
                <c:pt idx="0">
                  <c:v>96</c:v>
                </c:pt>
                <c:pt idx="1">
                  <c:v>48</c:v>
                </c:pt>
                <c:pt idx="2">
                  <c:v>48</c:v>
                </c:pt>
                <c:pt idx="3">
                  <c:v>48</c:v>
                </c:pt>
                <c:pt idx="4">
                  <c:v>48</c:v>
                </c:pt>
                <c:pt idx="5">
                  <c:v>48</c:v>
                </c:pt>
                <c:pt idx="6">
                  <c:v>48</c:v>
                </c:pt>
                <c:pt idx="7">
                  <c:v>48</c:v>
                </c:pt>
                <c:pt idx="8">
                  <c:v>48</c:v>
                </c:pt>
                <c:pt idx="9">
                  <c:v>48</c:v>
                </c:pt>
                <c:pt idx="10">
                  <c:v>48</c:v>
                </c:pt>
              </c:numCache>
            </c:numRef>
          </c:val>
          <c:extLst>
            <c:ext xmlns:c16="http://schemas.microsoft.com/office/drawing/2014/chart" uri="{C3380CC4-5D6E-409C-BE32-E72D297353CC}">
              <c16:uniqueId val="{00000000-58EF-475B-BA2B-256C9D5DC2D7}"/>
            </c:ext>
          </c:extLst>
        </c:ser>
        <c:dLbls>
          <c:dLblPos val="outEnd"/>
          <c:showLegendKey val="0"/>
          <c:showVal val="1"/>
          <c:showCatName val="0"/>
          <c:showSerName val="0"/>
          <c:showPercent val="0"/>
          <c:showBubbleSize val="0"/>
        </c:dLbls>
        <c:gapWidth val="100"/>
        <c:overlap val="-24"/>
        <c:axId val="231440944"/>
        <c:axId val="62151600"/>
      </c:barChart>
      <c:catAx>
        <c:axId val="2314409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1600"/>
        <c:crosses val="autoZero"/>
        <c:auto val="1"/>
        <c:lblAlgn val="ctr"/>
        <c:lblOffset val="100"/>
        <c:noMultiLvlLbl val="0"/>
      </c:catAx>
      <c:valAx>
        <c:axId val="6215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44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Excel.xlsx]Category_Analysis!PivotTable4</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Rating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Category_Analysis!$E$20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Category_Analysis!$D$21:$D$33</c:f>
              <c:strCache>
                <c:ptCount val="12"/>
                <c:pt idx="0">
                  <c:v>Washing Machine</c:v>
                </c:pt>
                <c:pt idx="1">
                  <c:v>Laptop</c:v>
                </c:pt>
                <c:pt idx="2">
                  <c:v>Refrigerator</c:v>
                </c:pt>
                <c:pt idx="3">
                  <c:v>Headphones</c:v>
                </c:pt>
                <c:pt idx="4">
                  <c:v>Television</c:v>
                </c:pt>
                <c:pt idx="5">
                  <c:v>Tablet</c:v>
                </c:pt>
                <c:pt idx="6">
                  <c:v>Smartphone</c:v>
                </c:pt>
                <c:pt idx="7">
                  <c:v>Smartwatch</c:v>
                </c:pt>
                <c:pt idx="8">
                  <c:v>Camera</c:v>
                </c:pt>
                <c:pt idx="9">
                  <c:v>Earbuds</c:v>
                </c:pt>
                <c:pt idx="10">
                  <c:v>Air Conditioner</c:v>
                </c:pt>
                <c:pt idx="11">
                  <c:v>Gaming Console</c:v>
                </c:pt>
              </c:strCache>
            </c:strRef>
          </c:cat>
          <c:val>
            <c:numRef>
              <c:f>Category_Analysis!$E$21:$E$33</c:f>
              <c:numCache>
                <c:formatCode>0.00</c:formatCode>
                <c:ptCount val="12"/>
                <c:pt idx="0">
                  <c:v>4.1854166666666659</c:v>
                </c:pt>
                <c:pt idx="1">
                  <c:v>4.1410256410256414</c:v>
                </c:pt>
                <c:pt idx="2">
                  <c:v>3.9956521739130424</c:v>
                </c:pt>
                <c:pt idx="3">
                  <c:v>3.9608695652173904</c:v>
                </c:pt>
                <c:pt idx="4">
                  <c:v>3.9521739130434774</c:v>
                </c:pt>
                <c:pt idx="5">
                  <c:v>3.9458333333333342</c:v>
                </c:pt>
                <c:pt idx="6">
                  <c:v>3.9425531914893606</c:v>
                </c:pt>
                <c:pt idx="7">
                  <c:v>3.9</c:v>
                </c:pt>
                <c:pt idx="8">
                  <c:v>3.8916666666666657</c:v>
                </c:pt>
                <c:pt idx="9">
                  <c:v>3.8499999999999996</c:v>
                </c:pt>
                <c:pt idx="10">
                  <c:v>3.7733333333333334</c:v>
                </c:pt>
                <c:pt idx="11">
                  <c:v>3.6762499999999996</c:v>
                </c:pt>
              </c:numCache>
            </c:numRef>
          </c:val>
          <c:extLst>
            <c:ext xmlns:c16="http://schemas.microsoft.com/office/drawing/2014/chart" uri="{C3380CC4-5D6E-409C-BE32-E72D297353CC}">
              <c16:uniqueId val="{00000000-7AB0-491D-A84A-A415BD67A36B}"/>
            </c:ext>
          </c:extLst>
        </c:ser>
        <c:dLbls>
          <c:dLblPos val="outEnd"/>
          <c:showLegendKey val="0"/>
          <c:showVal val="1"/>
          <c:showCatName val="0"/>
          <c:showSerName val="0"/>
          <c:showPercent val="0"/>
          <c:showBubbleSize val="0"/>
        </c:dLbls>
        <c:gapWidth val="100"/>
        <c:overlap val="-24"/>
        <c:axId val="57648288"/>
        <c:axId val="2092135216"/>
      </c:barChart>
      <c:catAx>
        <c:axId val="57648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135216"/>
        <c:crosses val="autoZero"/>
        <c:auto val="1"/>
        <c:lblAlgn val="ctr"/>
        <c:lblOffset val="100"/>
        <c:noMultiLvlLbl val="0"/>
      </c:catAx>
      <c:valAx>
        <c:axId val="20921352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4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Excel.xlsx]Category_Analysis!PivotTable5</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Discount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Category_Analysis!$H$20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Category_Analysis!$G$21:$G$33</c:f>
              <c:strCache>
                <c:ptCount val="12"/>
                <c:pt idx="0">
                  <c:v>Smartwatch</c:v>
                </c:pt>
                <c:pt idx="1">
                  <c:v>Earbuds</c:v>
                </c:pt>
                <c:pt idx="2">
                  <c:v>Headphones</c:v>
                </c:pt>
                <c:pt idx="3">
                  <c:v>Television</c:v>
                </c:pt>
                <c:pt idx="4">
                  <c:v>Gaming Console</c:v>
                </c:pt>
                <c:pt idx="5">
                  <c:v>Camera</c:v>
                </c:pt>
                <c:pt idx="6">
                  <c:v>Air Conditioner</c:v>
                </c:pt>
                <c:pt idx="7">
                  <c:v>Washing Machine</c:v>
                </c:pt>
                <c:pt idx="8">
                  <c:v>Tablet</c:v>
                </c:pt>
                <c:pt idx="9">
                  <c:v>Refrigerator</c:v>
                </c:pt>
                <c:pt idx="10">
                  <c:v>Smartphone</c:v>
                </c:pt>
                <c:pt idx="11">
                  <c:v>Laptop</c:v>
                </c:pt>
              </c:strCache>
            </c:strRef>
          </c:cat>
          <c:val>
            <c:numRef>
              <c:f>Category_Analysis!$H$21:$H$33</c:f>
              <c:numCache>
                <c:formatCode>0.00%</c:formatCode>
                <c:ptCount val="12"/>
                <c:pt idx="0">
                  <c:v>0.67638297872340425</c:v>
                </c:pt>
                <c:pt idx="1">
                  <c:v>0.62633333333333319</c:v>
                </c:pt>
                <c:pt idx="2">
                  <c:v>0.53097916666666667</c:v>
                </c:pt>
                <c:pt idx="3">
                  <c:v>0.45630232558139533</c:v>
                </c:pt>
                <c:pt idx="4">
                  <c:v>0.45148936170212772</c:v>
                </c:pt>
                <c:pt idx="5">
                  <c:v>0.40025000000000005</c:v>
                </c:pt>
                <c:pt idx="6">
                  <c:v>0.38135897435897431</c:v>
                </c:pt>
                <c:pt idx="7">
                  <c:v>0.3074782608695652</c:v>
                </c:pt>
                <c:pt idx="8">
                  <c:v>0.29752380952380952</c:v>
                </c:pt>
                <c:pt idx="9">
                  <c:v>0.27283333333333343</c:v>
                </c:pt>
                <c:pt idx="10">
                  <c:v>0.21492307692307697</c:v>
                </c:pt>
                <c:pt idx="11">
                  <c:v>0.19541304347826086</c:v>
                </c:pt>
              </c:numCache>
            </c:numRef>
          </c:val>
          <c:extLst>
            <c:ext xmlns:c16="http://schemas.microsoft.com/office/drawing/2014/chart" uri="{C3380CC4-5D6E-409C-BE32-E72D297353CC}">
              <c16:uniqueId val="{00000000-71F6-4F4F-9A17-178EA9CE9206}"/>
            </c:ext>
          </c:extLst>
        </c:ser>
        <c:dLbls>
          <c:dLblPos val="outEnd"/>
          <c:showLegendKey val="0"/>
          <c:showVal val="1"/>
          <c:showCatName val="0"/>
          <c:showSerName val="0"/>
          <c:showPercent val="0"/>
          <c:showBubbleSize val="0"/>
        </c:dLbls>
        <c:gapWidth val="100"/>
        <c:overlap val="-24"/>
        <c:axId val="223435824"/>
        <c:axId val="1361497168"/>
      </c:barChart>
      <c:catAx>
        <c:axId val="2234358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1497168"/>
        <c:crosses val="autoZero"/>
        <c:auto val="1"/>
        <c:lblAlgn val="ctr"/>
        <c:lblOffset val="100"/>
        <c:noMultiLvlLbl val="0"/>
      </c:catAx>
      <c:valAx>
        <c:axId val="1361497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43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Excel.xlsx]Price Analysis!PivotTable3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Product Distribution by Price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Analysis'!$B$8</c:f>
              <c:strCache>
                <c:ptCount val="1"/>
                <c:pt idx="0">
                  <c:v>Count of Product_Title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'Price Analysis'!$A$9:$A$15</c:f>
              <c:strCache>
                <c:ptCount val="6"/>
                <c:pt idx="0">
                  <c:v>Above ₹10,000</c:v>
                </c:pt>
                <c:pt idx="1">
                  <c:v>₹1,000–₹5,000</c:v>
                </c:pt>
                <c:pt idx="2">
                  <c:v>₹500–₹1,000</c:v>
                </c:pt>
                <c:pt idx="3">
                  <c:v>₹5,000–₹10,000</c:v>
                </c:pt>
                <c:pt idx="4">
                  <c:v>Under ₹500</c:v>
                </c:pt>
                <c:pt idx="5">
                  <c:v>Blank cells</c:v>
                </c:pt>
              </c:strCache>
            </c:strRef>
          </c:cat>
          <c:val>
            <c:numRef>
              <c:f>'Price Analysis'!$B$9:$B$15</c:f>
              <c:numCache>
                <c:formatCode>General</c:formatCode>
                <c:ptCount val="6"/>
                <c:pt idx="0">
                  <c:v>323</c:v>
                </c:pt>
                <c:pt idx="1">
                  <c:v>148</c:v>
                </c:pt>
                <c:pt idx="2">
                  <c:v>71</c:v>
                </c:pt>
                <c:pt idx="3">
                  <c:v>49</c:v>
                </c:pt>
                <c:pt idx="4">
                  <c:v>26</c:v>
                </c:pt>
                <c:pt idx="5">
                  <c:v>6</c:v>
                </c:pt>
              </c:numCache>
            </c:numRef>
          </c:val>
          <c:extLst>
            <c:ext xmlns:c16="http://schemas.microsoft.com/office/drawing/2014/chart" uri="{C3380CC4-5D6E-409C-BE32-E72D297353CC}">
              <c16:uniqueId val="{00000000-858B-4C8D-AF30-AC186036CFEA}"/>
            </c:ext>
          </c:extLst>
        </c:ser>
        <c:dLbls>
          <c:showLegendKey val="0"/>
          <c:showVal val="0"/>
          <c:showCatName val="0"/>
          <c:showSerName val="0"/>
          <c:showPercent val="0"/>
          <c:showBubbleSize val="0"/>
        </c:dLbls>
        <c:gapWidth val="219"/>
        <c:axId val="389200255"/>
        <c:axId val="207511919"/>
      </c:barChart>
      <c:lineChart>
        <c:grouping val="standard"/>
        <c:varyColors val="0"/>
        <c:ser>
          <c:idx val="1"/>
          <c:order val="1"/>
          <c:tx>
            <c:strRef>
              <c:f>'Price Analysis'!$C$8</c:f>
              <c:strCache>
                <c:ptCount val="1"/>
                <c:pt idx="0">
                  <c:v>% of 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'Price Analysis'!$A$9:$A$15</c:f>
              <c:strCache>
                <c:ptCount val="6"/>
                <c:pt idx="0">
                  <c:v>Above ₹10,000</c:v>
                </c:pt>
                <c:pt idx="1">
                  <c:v>₹1,000–₹5,000</c:v>
                </c:pt>
                <c:pt idx="2">
                  <c:v>₹500–₹1,000</c:v>
                </c:pt>
                <c:pt idx="3">
                  <c:v>₹5,000–₹10,000</c:v>
                </c:pt>
                <c:pt idx="4">
                  <c:v>Under ₹500</c:v>
                </c:pt>
                <c:pt idx="5">
                  <c:v>Blank cells</c:v>
                </c:pt>
              </c:strCache>
            </c:strRef>
          </c:cat>
          <c:val>
            <c:numRef>
              <c:f>'Price Analysis'!$C$9:$C$15</c:f>
              <c:numCache>
                <c:formatCode>0.00%</c:formatCode>
                <c:ptCount val="6"/>
                <c:pt idx="0">
                  <c:v>0.5184590690208668</c:v>
                </c:pt>
                <c:pt idx="1">
                  <c:v>0.2375601926163724</c:v>
                </c:pt>
                <c:pt idx="2">
                  <c:v>0.11396468699839486</c:v>
                </c:pt>
                <c:pt idx="3">
                  <c:v>7.8651685393258425E-2</c:v>
                </c:pt>
                <c:pt idx="4">
                  <c:v>4.1733547351524881E-2</c:v>
                </c:pt>
                <c:pt idx="5">
                  <c:v>9.630818619582664E-3</c:v>
                </c:pt>
              </c:numCache>
            </c:numRef>
          </c:val>
          <c:smooth val="0"/>
          <c:extLst>
            <c:ext xmlns:c16="http://schemas.microsoft.com/office/drawing/2014/chart" uri="{C3380CC4-5D6E-409C-BE32-E72D297353CC}">
              <c16:uniqueId val="{00000001-858B-4C8D-AF30-AC186036CFEA}"/>
            </c:ext>
          </c:extLst>
        </c:ser>
        <c:dLbls>
          <c:showLegendKey val="0"/>
          <c:showVal val="0"/>
          <c:showCatName val="0"/>
          <c:showSerName val="0"/>
          <c:showPercent val="0"/>
          <c:showBubbleSize val="0"/>
        </c:dLbls>
        <c:marker val="1"/>
        <c:smooth val="0"/>
        <c:axId val="396009183"/>
        <c:axId val="207567119"/>
      </c:lineChart>
      <c:catAx>
        <c:axId val="3892002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11919"/>
        <c:crosses val="autoZero"/>
        <c:auto val="1"/>
        <c:lblAlgn val="ctr"/>
        <c:lblOffset val="100"/>
        <c:noMultiLvlLbl val="0"/>
      </c:catAx>
      <c:valAx>
        <c:axId val="207511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00255"/>
        <c:crosses val="autoZero"/>
        <c:crossBetween val="between"/>
      </c:valAx>
      <c:valAx>
        <c:axId val="207567119"/>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009183"/>
        <c:crosses val="max"/>
        <c:crossBetween val="between"/>
      </c:valAx>
      <c:catAx>
        <c:axId val="396009183"/>
        <c:scaling>
          <c:orientation val="minMax"/>
        </c:scaling>
        <c:delete val="1"/>
        <c:axPos val="b"/>
        <c:numFmt formatCode="General" sourceLinked="1"/>
        <c:majorTickMark val="none"/>
        <c:minorTickMark val="none"/>
        <c:tickLblPos val="nextTo"/>
        <c:crossAx val="2075671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Excel.xlsx]Discount Analysis!PivotTable9</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Discount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Analysis'!$B$6</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Analysis'!$A$7:$A$17</c:f>
              <c:strCache>
                <c:ptCount val="10"/>
                <c:pt idx="0">
                  <c:v>Smartwatch</c:v>
                </c:pt>
                <c:pt idx="1">
                  <c:v>Earbuds</c:v>
                </c:pt>
                <c:pt idx="2">
                  <c:v>Headphones</c:v>
                </c:pt>
                <c:pt idx="3">
                  <c:v>Television</c:v>
                </c:pt>
                <c:pt idx="4">
                  <c:v>Gaming Console</c:v>
                </c:pt>
                <c:pt idx="5">
                  <c:v>Camera</c:v>
                </c:pt>
                <c:pt idx="6">
                  <c:v>Air Conditioner</c:v>
                </c:pt>
                <c:pt idx="7">
                  <c:v>Washing Machine</c:v>
                </c:pt>
                <c:pt idx="8">
                  <c:v>Tablet</c:v>
                </c:pt>
                <c:pt idx="9">
                  <c:v>Refrigerator</c:v>
                </c:pt>
              </c:strCache>
            </c:strRef>
          </c:cat>
          <c:val>
            <c:numRef>
              <c:f>'Discount Analysis'!$B$7:$B$17</c:f>
              <c:numCache>
                <c:formatCode>0.00%</c:formatCode>
                <c:ptCount val="10"/>
                <c:pt idx="0">
                  <c:v>0.67638297872340425</c:v>
                </c:pt>
                <c:pt idx="1">
                  <c:v>0.62633333333333319</c:v>
                </c:pt>
                <c:pt idx="2">
                  <c:v>0.53097916666666667</c:v>
                </c:pt>
                <c:pt idx="3">
                  <c:v>0.45630232558139533</c:v>
                </c:pt>
                <c:pt idx="4">
                  <c:v>0.45148936170212772</c:v>
                </c:pt>
                <c:pt idx="5">
                  <c:v>0.40025000000000005</c:v>
                </c:pt>
                <c:pt idx="6">
                  <c:v>0.38135897435897431</c:v>
                </c:pt>
                <c:pt idx="7">
                  <c:v>0.3074782608695652</c:v>
                </c:pt>
                <c:pt idx="8">
                  <c:v>0.29752380952380952</c:v>
                </c:pt>
                <c:pt idx="9">
                  <c:v>0.27283333333333343</c:v>
                </c:pt>
              </c:numCache>
            </c:numRef>
          </c:val>
          <c:extLst>
            <c:ext xmlns:c16="http://schemas.microsoft.com/office/drawing/2014/chart" uri="{C3380CC4-5D6E-409C-BE32-E72D297353CC}">
              <c16:uniqueId val="{00000000-5217-4B28-A92A-0C0971E433AB}"/>
            </c:ext>
          </c:extLst>
        </c:ser>
        <c:dLbls>
          <c:dLblPos val="outEnd"/>
          <c:showLegendKey val="0"/>
          <c:showVal val="1"/>
          <c:showCatName val="0"/>
          <c:showSerName val="0"/>
          <c:showPercent val="0"/>
          <c:showBubbleSize val="0"/>
        </c:dLbls>
        <c:gapWidth val="100"/>
        <c:overlap val="-24"/>
        <c:axId val="282357631"/>
        <c:axId val="207508079"/>
      </c:barChart>
      <c:catAx>
        <c:axId val="2823576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08079"/>
        <c:crosses val="autoZero"/>
        <c:auto val="1"/>
        <c:lblAlgn val="ctr"/>
        <c:lblOffset val="100"/>
        <c:noMultiLvlLbl val="0"/>
      </c:catAx>
      <c:valAx>
        <c:axId val="207508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35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Excel.xlsx]Discount Analysis!PivotTable13</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Rating by Discount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 Analysis'!$B$19</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'Discount Analysis'!$A$20:$A$26</c:f>
              <c:strCache>
                <c:ptCount val="6"/>
                <c:pt idx="0">
                  <c:v>0–10%</c:v>
                </c:pt>
                <c:pt idx="1">
                  <c:v>10–20%</c:v>
                </c:pt>
                <c:pt idx="2">
                  <c:v>20–30%</c:v>
                </c:pt>
                <c:pt idx="3">
                  <c:v>No Discount</c:v>
                </c:pt>
                <c:pt idx="4">
                  <c:v>30–50%</c:v>
                </c:pt>
                <c:pt idx="5">
                  <c:v>Above 50%</c:v>
                </c:pt>
              </c:strCache>
            </c:strRef>
          </c:cat>
          <c:val>
            <c:numRef>
              <c:f>'Discount Analysis'!$B$20:$B$26</c:f>
              <c:numCache>
                <c:formatCode>0.00</c:formatCode>
                <c:ptCount val="6"/>
                <c:pt idx="0">
                  <c:v>4.2098039215686276</c:v>
                </c:pt>
                <c:pt idx="1">
                  <c:v>4.030188679245283</c:v>
                </c:pt>
                <c:pt idx="2">
                  <c:v>4.0053763440860211</c:v>
                </c:pt>
                <c:pt idx="3">
                  <c:v>3.990697674418604</c:v>
                </c:pt>
                <c:pt idx="4">
                  <c:v>3.9520270270270261</c:v>
                </c:pt>
                <c:pt idx="5">
                  <c:v>3.73045685279188</c:v>
                </c:pt>
              </c:numCache>
            </c:numRef>
          </c:val>
          <c:extLst>
            <c:ext xmlns:c16="http://schemas.microsoft.com/office/drawing/2014/chart" uri="{C3380CC4-5D6E-409C-BE32-E72D297353CC}">
              <c16:uniqueId val="{00000000-BA91-41DB-B51C-3BC90B3B4616}"/>
            </c:ext>
          </c:extLst>
        </c:ser>
        <c:dLbls>
          <c:dLblPos val="outEnd"/>
          <c:showLegendKey val="0"/>
          <c:showVal val="1"/>
          <c:showCatName val="0"/>
          <c:showSerName val="0"/>
          <c:showPercent val="0"/>
          <c:showBubbleSize val="0"/>
        </c:dLbls>
        <c:gapWidth val="100"/>
        <c:overlap val="-24"/>
        <c:axId val="389223919"/>
        <c:axId val="207527759"/>
      </c:barChart>
      <c:catAx>
        <c:axId val="3892239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27759"/>
        <c:crosses val="autoZero"/>
        <c:auto val="1"/>
        <c:lblAlgn val="ctr"/>
        <c:lblOffset val="100"/>
        <c:noMultiLvlLbl val="0"/>
      </c:catAx>
      <c:valAx>
        <c:axId val="207527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922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Excel.xlsx]Rating Analysis!PivotTable6</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Product Distribution by Rating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6">
                  <a:lumMod val="7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Analysis'!$B$6</c:f>
              <c:strCache>
                <c:ptCount val="1"/>
                <c:pt idx="0">
                  <c:v>Count of Product</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 Analysis'!$A$7:$A$13</c:f>
              <c:strCache>
                <c:ptCount val="6"/>
                <c:pt idx="0">
                  <c:v>4.0–4.4</c:v>
                </c:pt>
                <c:pt idx="1">
                  <c:v>3.0–3.9</c:v>
                </c:pt>
                <c:pt idx="2">
                  <c:v>4.5–5.0</c:v>
                </c:pt>
                <c:pt idx="3">
                  <c:v>Not Rated</c:v>
                </c:pt>
                <c:pt idx="4">
                  <c:v>2.0–2.9</c:v>
                </c:pt>
                <c:pt idx="5">
                  <c:v>Below 2.0</c:v>
                </c:pt>
              </c:strCache>
            </c:strRef>
          </c:cat>
          <c:val>
            <c:numRef>
              <c:f>'Rating Analysis'!$B$7:$B$13</c:f>
              <c:numCache>
                <c:formatCode>General</c:formatCode>
                <c:ptCount val="6"/>
                <c:pt idx="0">
                  <c:v>279</c:v>
                </c:pt>
                <c:pt idx="1">
                  <c:v>214</c:v>
                </c:pt>
                <c:pt idx="2">
                  <c:v>63</c:v>
                </c:pt>
                <c:pt idx="3">
                  <c:v>38</c:v>
                </c:pt>
                <c:pt idx="4">
                  <c:v>21</c:v>
                </c:pt>
                <c:pt idx="5">
                  <c:v>8</c:v>
                </c:pt>
              </c:numCache>
            </c:numRef>
          </c:val>
          <c:extLst>
            <c:ext xmlns:c16="http://schemas.microsoft.com/office/drawing/2014/chart" uri="{C3380CC4-5D6E-409C-BE32-E72D297353CC}">
              <c16:uniqueId val="{00000000-4902-4A93-8F36-192E4126D327}"/>
            </c:ext>
          </c:extLst>
        </c:ser>
        <c:dLbls>
          <c:showLegendKey val="0"/>
          <c:showVal val="0"/>
          <c:showCatName val="0"/>
          <c:showSerName val="0"/>
          <c:showPercent val="0"/>
          <c:showBubbleSize val="0"/>
        </c:dLbls>
        <c:gapWidth val="219"/>
        <c:overlap val="-27"/>
        <c:axId val="395969743"/>
        <c:axId val="207509999"/>
      </c:barChart>
      <c:lineChart>
        <c:grouping val="standard"/>
        <c:varyColors val="0"/>
        <c:ser>
          <c:idx val="1"/>
          <c:order val="1"/>
          <c:tx>
            <c:strRef>
              <c:f>'Rating Analysis'!$C$6</c:f>
              <c:strCache>
                <c:ptCount val="1"/>
                <c:pt idx="0">
                  <c:v> Count of Product in %</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6">
                    <a:lumMod val="75000"/>
                  </a:schemeClr>
                </a:solidFill>
                <a:round/>
              </a:ln>
              <a:effectLst>
                <a:outerShdw blurRad="57150" dist="19050" dir="5400000" algn="ctr" rotWithShape="0">
                  <a:srgbClr val="000000">
                    <a:alpha val="63000"/>
                  </a:srgbClr>
                </a:outerShdw>
              </a:effectLst>
            </c:spPr>
          </c:marker>
          <c:cat>
            <c:strRef>
              <c:f>'Rating Analysis'!$A$7:$A$13</c:f>
              <c:strCache>
                <c:ptCount val="6"/>
                <c:pt idx="0">
                  <c:v>4.0–4.4</c:v>
                </c:pt>
                <c:pt idx="1">
                  <c:v>3.0–3.9</c:v>
                </c:pt>
                <c:pt idx="2">
                  <c:v>4.5–5.0</c:v>
                </c:pt>
                <c:pt idx="3">
                  <c:v>Not Rated</c:v>
                </c:pt>
                <c:pt idx="4">
                  <c:v>2.0–2.9</c:v>
                </c:pt>
                <c:pt idx="5">
                  <c:v>Below 2.0</c:v>
                </c:pt>
              </c:strCache>
            </c:strRef>
          </c:cat>
          <c:val>
            <c:numRef>
              <c:f>'Rating Analysis'!$C$7:$C$13</c:f>
              <c:numCache>
                <c:formatCode>0.00%</c:formatCode>
                <c:ptCount val="6"/>
                <c:pt idx="0">
                  <c:v>0.4478330658105939</c:v>
                </c:pt>
                <c:pt idx="1">
                  <c:v>0.3434991974317817</c:v>
                </c:pt>
                <c:pt idx="2">
                  <c:v>0.10112359550561797</c:v>
                </c:pt>
                <c:pt idx="3">
                  <c:v>6.0995184590690206E-2</c:v>
                </c:pt>
                <c:pt idx="4">
                  <c:v>3.3707865168539325E-2</c:v>
                </c:pt>
                <c:pt idx="5">
                  <c:v>1.2841091492776886E-2</c:v>
                </c:pt>
              </c:numCache>
            </c:numRef>
          </c:val>
          <c:smooth val="0"/>
          <c:extLst>
            <c:ext xmlns:c16="http://schemas.microsoft.com/office/drawing/2014/chart" uri="{C3380CC4-5D6E-409C-BE32-E72D297353CC}">
              <c16:uniqueId val="{00000001-4902-4A93-8F36-192E4126D327}"/>
            </c:ext>
          </c:extLst>
        </c:ser>
        <c:dLbls>
          <c:showLegendKey val="0"/>
          <c:showVal val="0"/>
          <c:showCatName val="0"/>
          <c:showSerName val="0"/>
          <c:showPercent val="0"/>
          <c:showBubbleSize val="0"/>
        </c:dLbls>
        <c:marker val="1"/>
        <c:smooth val="0"/>
        <c:axId val="296807839"/>
        <c:axId val="1942669263"/>
      </c:lineChart>
      <c:catAx>
        <c:axId val="3959697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09999"/>
        <c:crosses val="autoZero"/>
        <c:auto val="1"/>
        <c:lblAlgn val="ctr"/>
        <c:lblOffset val="100"/>
        <c:noMultiLvlLbl val="0"/>
      </c:catAx>
      <c:valAx>
        <c:axId val="207509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69743"/>
        <c:crosses val="autoZero"/>
        <c:crossBetween val="between"/>
      </c:valAx>
      <c:valAx>
        <c:axId val="194266926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07839"/>
        <c:crosses val="max"/>
        <c:crossBetween val="between"/>
      </c:valAx>
      <c:catAx>
        <c:axId val="296807839"/>
        <c:scaling>
          <c:orientation val="minMax"/>
        </c:scaling>
        <c:delete val="1"/>
        <c:axPos val="b"/>
        <c:numFmt formatCode="General" sourceLinked="1"/>
        <c:majorTickMark val="none"/>
        <c:minorTickMark val="none"/>
        <c:tickLblPos val="nextTo"/>
        <c:crossAx val="19426692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[Copy of Excel.xlsx]Rating Analysis!PivotTable7</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Rating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Analysis'!$B$15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'Rating Analysis'!$A$16:$A$28</c:f>
              <c:strCache>
                <c:ptCount val="12"/>
                <c:pt idx="0">
                  <c:v>Washing Machine</c:v>
                </c:pt>
                <c:pt idx="1">
                  <c:v>Laptop</c:v>
                </c:pt>
                <c:pt idx="2">
                  <c:v>Refrigerator</c:v>
                </c:pt>
                <c:pt idx="3">
                  <c:v>Headphones</c:v>
                </c:pt>
                <c:pt idx="4">
                  <c:v>Television</c:v>
                </c:pt>
                <c:pt idx="5">
                  <c:v>Tablet</c:v>
                </c:pt>
                <c:pt idx="6">
                  <c:v>Smartphone</c:v>
                </c:pt>
                <c:pt idx="7">
                  <c:v>Smartwatch</c:v>
                </c:pt>
                <c:pt idx="8">
                  <c:v>Camera</c:v>
                </c:pt>
                <c:pt idx="9">
                  <c:v>Earbuds</c:v>
                </c:pt>
                <c:pt idx="10">
                  <c:v>Air Conditioner</c:v>
                </c:pt>
                <c:pt idx="11">
                  <c:v>Gaming Console</c:v>
                </c:pt>
              </c:strCache>
            </c:strRef>
          </c:cat>
          <c:val>
            <c:numRef>
              <c:f>'Rating Analysis'!$B$16:$B$28</c:f>
              <c:numCache>
                <c:formatCode>0.00</c:formatCode>
                <c:ptCount val="12"/>
                <c:pt idx="0">
                  <c:v>4.1854166666666659</c:v>
                </c:pt>
                <c:pt idx="1">
                  <c:v>4.1410256410256414</c:v>
                </c:pt>
                <c:pt idx="2">
                  <c:v>3.9956521739130424</c:v>
                </c:pt>
                <c:pt idx="3">
                  <c:v>3.9608695652173904</c:v>
                </c:pt>
                <c:pt idx="4">
                  <c:v>3.9521739130434774</c:v>
                </c:pt>
                <c:pt idx="5">
                  <c:v>3.9458333333333342</c:v>
                </c:pt>
                <c:pt idx="6">
                  <c:v>3.9425531914893606</c:v>
                </c:pt>
                <c:pt idx="7">
                  <c:v>3.9</c:v>
                </c:pt>
                <c:pt idx="8">
                  <c:v>3.8916666666666657</c:v>
                </c:pt>
                <c:pt idx="9">
                  <c:v>3.8499999999999996</c:v>
                </c:pt>
                <c:pt idx="10">
                  <c:v>3.7733333333333334</c:v>
                </c:pt>
                <c:pt idx="11">
                  <c:v>3.6762499999999996</c:v>
                </c:pt>
              </c:numCache>
            </c:numRef>
          </c:val>
          <c:extLst>
            <c:ext xmlns:c16="http://schemas.microsoft.com/office/drawing/2014/chart" uri="{C3380CC4-5D6E-409C-BE32-E72D297353CC}">
              <c16:uniqueId val="{00000000-F2F6-4E30-8540-112C6C622E0F}"/>
            </c:ext>
          </c:extLst>
        </c:ser>
        <c:dLbls>
          <c:showLegendKey val="0"/>
          <c:showVal val="0"/>
          <c:showCatName val="0"/>
          <c:showSerName val="0"/>
          <c:showPercent val="0"/>
          <c:showBubbleSize val="0"/>
        </c:dLbls>
        <c:gapWidth val="100"/>
        <c:overlap val="-24"/>
        <c:axId val="296778143"/>
        <c:axId val="207555599"/>
      </c:barChart>
      <c:catAx>
        <c:axId val="296778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55599"/>
        <c:crosses val="autoZero"/>
        <c:auto val="1"/>
        <c:lblAlgn val="ctr"/>
        <c:lblOffset val="100"/>
        <c:noMultiLvlLbl val="0"/>
      </c:catAx>
      <c:valAx>
        <c:axId val="207555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778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Excel.xlsx]Rating Analysis!PivotTable8</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Number of Ratings by Rating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'Rating Analysis'!$E$15</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Analysis'!$D$16:$D$22</c:f>
              <c:strCache>
                <c:ptCount val="6"/>
                <c:pt idx="0">
                  <c:v>4.0–4.4</c:v>
                </c:pt>
                <c:pt idx="1">
                  <c:v>3.0–3.9</c:v>
                </c:pt>
                <c:pt idx="2">
                  <c:v>4.5–5.0</c:v>
                </c:pt>
                <c:pt idx="3">
                  <c:v>2.0–2.9</c:v>
                </c:pt>
                <c:pt idx="4">
                  <c:v>Below 2.0</c:v>
                </c:pt>
                <c:pt idx="5">
                  <c:v>Not Rated</c:v>
                </c:pt>
              </c:strCache>
            </c:strRef>
          </c:cat>
          <c:val>
            <c:numRef>
              <c:f>'Rating Analysis'!$E$16:$E$22</c:f>
              <c:numCache>
                <c:formatCode>0.00</c:formatCode>
                <c:ptCount val="6"/>
                <c:pt idx="0">
                  <c:v>7996.2437275985667</c:v>
                </c:pt>
                <c:pt idx="1">
                  <c:v>4013.0607476635514</c:v>
                </c:pt>
                <c:pt idx="2">
                  <c:v>887.17460317460313</c:v>
                </c:pt>
                <c:pt idx="3">
                  <c:v>9.7619047619047628</c:v>
                </c:pt>
                <c:pt idx="4">
                  <c:v>7.375</c:v>
                </c:pt>
                <c:pt idx="5">
                  <c:v>0</c:v>
                </c:pt>
              </c:numCache>
            </c:numRef>
          </c:val>
          <c:extLst>
            <c:ext xmlns:c16="http://schemas.microsoft.com/office/drawing/2014/chart" uri="{C3380CC4-5D6E-409C-BE32-E72D297353CC}">
              <c16:uniqueId val="{00000000-252E-4108-9385-BB56AD92E5E4}"/>
            </c:ext>
          </c:extLst>
        </c:ser>
        <c:dLbls>
          <c:dLblPos val="outEnd"/>
          <c:showLegendKey val="0"/>
          <c:showVal val="1"/>
          <c:showCatName val="0"/>
          <c:showSerName val="0"/>
          <c:showPercent val="0"/>
          <c:showBubbleSize val="0"/>
        </c:dLbls>
        <c:gapWidth val="100"/>
        <c:overlap val="-24"/>
        <c:axId val="296873727"/>
        <c:axId val="207530639"/>
      </c:barChart>
      <c:catAx>
        <c:axId val="2968737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30639"/>
        <c:crosses val="autoZero"/>
        <c:auto val="1"/>
        <c:lblAlgn val="ctr"/>
        <c:lblOffset val="100"/>
        <c:noMultiLvlLbl val="0"/>
      </c:catAx>
      <c:valAx>
        <c:axId val="207530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687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402419</xdr:colOff>
      <xdr:row>1</xdr:row>
      <xdr:rowOff>11641</xdr:rowOff>
    </xdr:from>
    <xdr:to>
      <xdr:col>8</xdr:col>
      <xdr:colOff>0</xdr:colOff>
      <xdr:row>15</xdr:row>
      <xdr:rowOff>172508</xdr:rowOff>
    </xdr:to>
    <xdr:graphicFrame macro="">
      <xdr:nvGraphicFramePr>
        <xdr:cNvPr id="2" name="Chart 1">
          <a:extLst>
            <a:ext uri="{FF2B5EF4-FFF2-40B4-BE49-F238E27FC236}">
              <a16:creationId xmlns:a16="http://schemas.microsoft.com/office/drawing/2014/main" id="{FC9A9D1F-EBDD-FBD5-5DCD-3A5D22C003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584294</xdr:colOff>
      <xdr:row>1</xdr:row>
      <xdr:rowOff>12653</xdr:rowOff>
    </xdr:from>
    <xdr:to>
      <xdr:col>18</xdr:col>
      <xdr:colOff>0</xdr:colOff>
      <xdr:row>15</xdr:row>
      <xdr:rowOff>173520</xdr:rowOff>
    </xdr:to>
    <xdr:graphicFrame macro="">
      <xdr:nvGraphicFramePr>
        <xdr:cNvPr id="3" name="Chart 2">
          <a:extLst>
            <a:ext uri="{FF2B5EF4-FFF2-40B4-BE49-F238E27FC236}">
              <a16:creationId xmlns:a16="http://schemas.microsoft.com/office/drawing/2014/main" id="{9CFC3D46-AB27-BE76-6212-39681E07B5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604671</xdr:colOff>
      <xdr:row>19</xdr:row>
      <xdr:rowOff>12131</xdr:rowOff>
    </xdr:from>
    <xdr:to>
      <xdr:col>17</xdr:col>
      <xdr:colOff>597091</xdr:colOff>
      <xdr:row>34</xdr:row>
      <xdr:rowOff>54212</xdr:rowOff>
    </xdr:to>
    <xdr:graphicFrame macro="">
      <xdr:nvGraphicFramePr>
        <xdr:cNvPr id="4" name="Chart 3">
          <a:extLst>
            <a:ext uri="{FF2B5EF4-FFF2-40B4-BE49-F238E27FC236}">
              <a16:creationId xmlns:a16="http://schemas.microsoft.com/office/drawing/2014/main" id="{B0AEA587-DE72-EA84-5AD4-D3810E34BB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362857</xdr:colOff>
      <xdr:row>0</xdr:row>
      <xdr:rowOff>110217</xdr:rowOff>
    </xdr:from>
    <xdr:to>
      <xdr:col>11</xdr:col>
      <xdr:colOff>61685</xdr:colOff>
      <xdr:row>15</xdr:row>
      <xdr:rowOff>91167</xdr:rowOff>
    </xdr:to>
    <xdr:graphicFrame macro="">
      <xdr:nvGraphicFramePr>
        <xdr:cNvPr id="3" name="Chart 2">
          <a:extLst>
            <a:ext uri="{FF2B5EF4-FFF2-40B4-BE49-F238E27FC236}">
              <a16:creationId xmlns:a16="http://schemas.microsoft.com/office/drawing/2014/main" id="{175DD199-7E6A-7936-A90F-852B43005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292100</xdr:colOff>
      <xdr:row>0</xdr:row>
      <xdr:rowOff>161925</xdr:rowOff>
    </xdr:from>
    <xdr:to>
      <xdr:col>9</xdr:col>
      <xdr:colOff>596900</xdr:colOff>
      <xdr:row>15</xdr:row>
      <xdr:rowOff>142875</xdr:rowOff>
    </xdr:to>
    <xdr:graphicFrame macro="">
      <xdr:nvGraphicFramePr>
        <xdr:cNvPr id="2" name="Chart 1">
          <a:extLst>
            <a:ext uri="{FF2B5EF4-FFF2-40B4-BE49-F238E27FC236}">
              <a16:creationId xmlns:a16="http://schemas.microsoft.com/office/drawing/2014/main" id="{DAC590A1-88B1-8AC2-D475-38D51F87A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315205</xdr:colOff>
      <xdr:row>16</xdr:row>
      <xdr:rowOff>97315</xdr:rowOff>
    </xdr:from>
    <xdr:to>
      <xdr:col>9</xdr:col>
      <xdr:colOff>602868</xdr:colOff>
      <xdr:row>31</xdr:row>
      <xdr:rowOff>86298</xdr:rowOff>
    </xdr:to>
    <xdr:graphicFrame macro="">
      <xdr:nvGraphicFramePr>
        <xdr:cNvPr id="3" name="Chart 2">
          <a:extLst>
            <a:ext uri="{FF2B5EF4-FFF2-40B4-BE49-F238E27FC236}">
              <a16:creationId xmlns:a16="http://schemas.microsoft.com/office/drawing/2014/main" id="{24DF6F32-6A81-B0C2-1B5D-B6E7DB64A9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202464</xdr:colOff>
      <xdr:row>1</xdr:row>
      <xdr:rowOff>9204</xdr:rowOff>
    </xdr:from>
    <xdr:to>
      <xdr:col>9</xdr:col>
      <xdr:colOff>214609</xdr:colOff>
      <xdr:row>13</xdr:row>
      <xdr:rowOff>55218</xdr:rowOff>
    </xdr:to>
    <xdr:graphicFrame macro="">
      <xdr:nvGraphicFramePr>
        <xdr:cNvPr id="2" name="Chart 1">
          <a:extLst>
            <a:ext uri="{FF2B5EF4-FFF2-40B4-BE49-F238E27FC236}">
              <a16:creationId xmlns:a16="http://schemas.microsoft.com/office/drawing/2014/main" id="{5C8E91B6-B001-727B-74FD-72D5CFCA7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5068</xdr:colOff>
      <xdr:row>0</xdr:row>
      <xdr:rowOff>173513</xdr:rowOff>
    </xdr:from>
    <xdr:to>
      <xdr:col>19</xdr:col>
      <xdr:colOff>429543</xdr:colOff>
      <xdr:row>15</xdr:row>
      <xdr:rowOff>99460</xdr:rowOff>
    </xdr:to>
    <xdr:graphicFrame macro="">
      <xdr:nvGraphicFramePr>
        <xdr:cNvPr id="3" name="Chart 2">
          <a:extLst>
            <a:ext uri="{FF2B5EF4-FFF2-40B4-BE49-F238E27FC236}">
              <a16:creationId xmlns:a16="http://schemas.microsoft.com/office/drawing/2014/main" id="{D50A0F4F-BFCB-26C9-2BE2-F59EC0725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303696</xdr:colOff>
      <xdr:row>15</xdr:row>
      <xdr:rowOff>183932</xdr:rowOff>
    </xdr:from>
    <xdr:to>
      <xdr:col>13</xdr:col>
      <xdr:colOff>23830</xdr:colOff>
      <xdr:row>30</xdr:row>
      <xdr:rowOff>86344</xdr:rowOff>
    </xdr:to>
    <xdr:graphicFrame macro="">
      <xdr:nvGraphicFramePr>
        <xdr:cNvPr id="4" name="Chart 3">
          <a:extLst>
            <a:ext uri="{FF2B5EF4-FFF2-40B4-BE49-F238E27FC236}">
              <a16:creationId xmlns:a16="http://schemas.microsoft.com/office/drawing/2014/main" id="{F7D76DC4-6A15-B414-F6B4-2B90E2D8D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460004050925" createdVersion="8" refreshedVersion="8" minRefreshableVersion="3" recordCount="623" xr:uid="{C6361720-C872-4CEC-A47F-05012471DF83}">
  <cacheSource type="worksheet">
    <worksheetSource ref="A1:R624" sheet="cleaned_data"/>
  </cacheSource>
  <cacheFields count="18">
    <cacheField name="ASIN" numFmtId="0">
      <sharedItems/>
    </cacheField>
    <cacheField name="Product_Title" numFmtId="0">
      <sharedItems count="619">
        <s v="Samsung Galaxy M07 Mobile (Black, 4GB RAM, 64GB Storage) | MediaTek Helio G99 | AnTuTu 624K | IP54| 50MP Camera | 7.6mm Slim | 5000mAh Battery | 25W Fast Charging | 6 Gen OS Upgrades | Without Charger"/>
        <s v="realme C71 4G Smartphone 6GB+128GB,6.745 inch Screen, 90Hz Eye Comfort Display, 6300mAh Battery, 37MP Cameras, Unisoc T7250 Chip, IP54, Sea Blue"/>
        <s v="SAMSUNG Galaxy F07 (Green, 64 GB) (4 GB RAM)"/>
        <s v="realme NARZO 80 Lite 4G (Beach Gold 2026, 4GB+64GB) | 6300mAh Segment&amp;#x27;s Biggest Battery | 7.94mm Slim Design | 300% Ultra Volume | Pulse Light: 9 Colors, 5 Glow Modes | Ai Assist"/>
        <s v="realme NARZO 90 5G (Carbon Black,8GB+128GB) | 7000mAh Biggest Battery | 60W Fastest Charging | 50MP Front &amp;amp; Rear AI Cameras | 4000nits Brightest Display | AI Assist | IP69 Dust &amp;amp; Water Resistance"/>
        <s v="OnePlus Nord CE6 Lite | 8GB+128GB | Hyper Black | Segment&amp;#x27;s Fastest Dimensity 7400 Apex Processor | 7000mAh Battery | Segment&amp;#x27;s Highest 144Hz Refresh Rate | 50MP Main Camera, 4K Video Recording"/>
        <s v="Samsung Galaxy M06 5G Mobile (Sage Green, 4GB RAM, 128GB Storage) | MediaTek Dimensity 6300 | AnTuTu 623K+ | 12 5G Bands | 25W Fast Charging | 4 Gen OS Upgrades | 50MP Camera | Without Charger"/>
        <s v="Pro 10 -Mini 4G Smartphone 4.5&amp;quot; Display | 3GB RAM 32GB Storage (Up to 128GB) | Dual SIM | 2350mAh Battery | Type-C Charging | Android Phone for Travel, Kids &amp;amp; Backup Use | Color as per Stock"/>
        <s v="Samsung Galaxy F06 5G, Lit Voilet (6GB, 128GB)"/>
        <s v="Samsung Galaxy F06 5G, Bahama Blue (4GB, 128GB)"/>
        <s v="acerpure Acerone Liquid 4G Smartphone (Blue, 4GB RAM, 64GB Storage) with 6.5&amp;quot; IPS Display, 20MP Rear Camera, 5000mAh Battery, Android 14, Octa-Core MT6765 Processor"/>
        <s v="REDMI A7 Pro 5G (Mist Blue, 4GB RAM, 64GB Storage) | Segment&amp;#x27;s Fastest Processor | Segment&amp;#x27;s Largest Battery | Segment&amp;#x27;s Largest &amp;amp; Smoothest 6.9in 120Hz Display"/>
        <s v="realme narzo 100 Lite 5G (Frost Silver,4GB+128GB) | 7000mAh Titan Battery | 4 Years, Zero Lag | 144 Hz Ultra Smooth Display | 6 nm Octa-core 5G Chipset | Color Pop Design | VC Cooling"/>
        <s v="Samsung Galaxy M17e 5G Mobile (Blitz Blue, 6GB RAM, 128GB Storage) | Smoothest 120 Hz Refresh Rate| Monster 6000 mAh Battery | IP54 | 6 Gen OS Upgrades | AI | Gemini Live | Without Charger"/>
        <s v="OPPO K14x 5G Smartphone, 6GB RAM, 128GB Storage, ICY Blue, Dual Camera, 48-Month Fluency Protection"/>
        <s v="REDMI A7 Pro 4G (Black, 4GB RAM, 64GB Storage) | Segment&amp;#x27;s Slimmest Smartphone | Segment&amp;#x27;s Largest 6300mAh Battery | Segment&amp;#x27;s Largest 17.53cm and Smoothest 120Hz Display | Charger in the Box"/>
        <s v="OnePlus Nord 6 | 12GB+256GB | Fresh Mint | Snapdragon 8s Gen 4 | Segment&amp;#x27;s First Stable 165FPS Gaming | Segment&amp;#x27;s Largest 9000mAh Battery | Most Complete IP Rating | Personalized AI"/>
        <s v="iQOO Z11x 5G (Titan Black, 6GB RAM, 128 GB Storage) | Dimensity 7400-Turbo Processor | 7200 mAh Battery | 4K Video Recording Front &amp;amp; Back | IP68 &amp;amp; IP69+ | Powered by OriginOS 6"/>
        <s v="Samsung Galaxy M56 5G Mobile (Black, 8GB RAM, 128GB Storage)| Segment Slimmest | Gorilla Glass Victus+ | 10 Bit HDR Video | 50MP Camera | AI | Vapour Cooling Chamber | Lag-free Gaming| Without Charger"/>
        <s v="realme NARZO 80 Pro 5G (Speed Silver,8GB+256GB) | Segment&amp;#x27;s 1st MediaTek Dimensity 7400 Chipset | 6000mAh Titan Battery + 80W Ultra Charge | 4500nits HyperGlow Esports Display | IP69 Waterproof"/>
        <s v="Samsung Galaxy M17 5G Mobile (Sapphire Black, 4GB RAM, 128GB Storage) | 50MP OIS Triple Camera | Gorilla Glass Victus | IP54 | 6 Gen OS Upgrades | AI | Gemini Live | Lag-Free Gaming | Without Charger"/>
        <s v="REDMI 15C 5G Dusk Purple 8GB + 128GB | Royale Design | Massive 6000mAh Battery | Segment&amp;#x27;s Largest 17.53cm Display Up to 120Hz | MediaTek Dimensity 6300 | 33W Fast Charging | 50MP AI Dual Camera"/>
        <s v="Samsung Galaxy M17e 5G Mobile (Vibe Violet, 4GB RAM, 128GB Storage) | Smoothest 120 Hz Refresh Rate| Monster 6000 mAh Battery | IP54 | 6 Gen OS Upgrades | AI | Gemini Live | Without Charger"/>
        <s v="SHIVANSH 14 Pro Mini 4G Smartphone | 3GB RAM 32GB Storage (Expandable 128GB) | 4.05 Inch Compact Display | Dual SIM | Android 12 | Type-C Charging | Pocket Size Mobile (Color as per Stock)"/>
        <s v="Lava Bold N2 (Indus Black, 4 GB RAM, 64 GB Storage) | 13MP AI Dual Rear Camera | Largest 6.75&amp;quot; HD+ Display | 5000 mAh Battery &amp;amp; 10W Charging | IP64 Water &amp;amp; Dust Proof | Charger &amp;amp; Phone-Case in Box"/>
        <s v="Redmi 15 5G Midnight Black 8GB + 256GB | Segment&amp;#x27;s Largest 7000mAhA Battery | Segment&amp;#x27;s Largest Display 17.53cm(6.9) Up to 144Hz | Snapdragon 6s Gen 3 | 18W Reverse Charging | 50MP AI Dual Camera"/>
        <s v="Google Pixel 10a 5G (Obsidian, 8GB RAM, 256GB Storage)"/>
        <s v="OnePlus 15R | 12GB+512GB | Charcoal Black | World&amp;#x27;s First SnapdragonÂ® 8 Gen 5 | 7400mAh Battery | Personalised AI | Game-Changing 165Hz Display | IP68 IP69 IP66 &amp;amp; IP69K | 4K 120fps Video"/>
        <s v="REDMI A7 Pro 5G (Black, 4GB RAM, 64GB Storage) | Segment&amp;#x27;s Fastest Processor | Segment&amp;#x27;s Largest Battery | Segment&amp;#x27;s Largest &amp;amp; Smoothest 6.9in 120Hz Display"/>
        <s v="Samsung Galaxy A17 5G (Blue, 6GB RAM, 128GB Storage) | 50 MP No Shake Camera | Gemini Live | Circle to Search | Super AMOLED | Corning Gorilla Glass Victus | 7.5mm Sleek | AI"/>
        <s v="REDMI A7 Pro 5G (Sunset Orange, 4GB RAM,128GB Storage) | Segment&amp;#x27;s Fastest Processor | Segment&amp;#x27;s Largest Battery | Segment&amp;#x27;s Largest &amp;amp; Smoothest 6.9in 120Hz Display"/>
        <s v="Samsung Galaxy F06 5G (Bahama Blue, 128 GB) (6 GB RAM)"/>
        <s v="Oppo Reno15c 5G (Twilight Blue, 8GB RAM, 256GB Storage) with No Cost EMI/Additional Exchange Offers"/>
        <s v="OPPO K14x 5G Smartphone, Prism Violet, 4GB RAM, 64GB Storage, 6500mAh Battery, 45W Fast Charge"/>
        <s v="Mi Redmi 8 Ruby Red, 4GB RAM, 64GB Storage Smartphone"/>
        <s v="REDMI Note 15 Pro+ 5G (Coffee Mocha, 12GB + 512GB) | 200MasterPixel OIS Camera | Snapdragon 7s Gen 4 | CrystalRes AMOLED | IP69/69K | 6500mAh Si/C Battery | 100W HyperCharge"/>
        <s v="vivo T5x 5G (Star Silver, 8GB RAM, 256GB Storage) | 50MP AI Dual Camera | 32MP Selfie | 6.76&amp;quot; FHD+ Display | 7200mAh Battery | Dimensity 7400-Turbo Processor | Fast Charging | Dual SIM Smartphone"/>
        <s v="Motorola G45 5G (Brilliant Green, 8GB RAM, 128GB Storage) | 6.5&amp;quot; FHD+ Display | Snapdragon 6 Gen1 Processor | 50MP Camera | 16MP Front Camera | 5000mAh Battery | 33W Charging"/>
        <s v="Lava Bold N1 5G (Champagne Gold, 6GB RAM, 128GB Storage) |Bigger 6.75&amp;quot; HD+ Notch Display | Octacore 5G Processor | 13 MP AI Camera |5000 mAh Battery| IP54 Rated Dust &amp;amp; Water Splash Proof"/>
        <s v="iQOO Z11x 5G (Prismatic Green, 8GB RAM, 256 GB Storage) | Dimensity 7400-Turbo Processor | 7200 mAh Battery | 4K Video Recording Front &amp;amp; Back | IP68 &amp;amp; IP69+ | Powered by OriginOS 6"/>
        <s v="POCO M7 Plus 5G, Carbon Black (6GB, 128GB)"/>
        <s v="REDMI Note 15 5G (Glacier Blue, 8GB RAM 256GB Storage) | 108MP OIS Camera | Snapdragon 6 Gen 3 | 17.2cm Tough Curved AMOLED Screen | 5520mAh Battery | 45W Fast Charging"/>
        <s v="POCO C81, Sky Blue (4GB, 64GB)"/>
        <s v="iQOO 15R (Dark Knight, 8GB RAM, 256GB Storage) | SnapdragonÂ® 8 Gen 5 Processor | Indiaâ€™s Slimmest Smartphone in 7600mAh Battery* | Segment&amp;#x27;s Most Stable 144FPS Gaming*"/>
        <s v="Motorola Edge 60 Fusion 5G Smartphone with 6.67&amp;quot; 120Hz pOLED Display, 50MP OIS Camera, Android 14, Dimensity 7030 Processor, 68W Fast Charging (Pantone Amazonite, 8GB + 256GB Storage)"/>
        <s v="Samsung Galaxy M36 5G Mobile (Serene Green, 8GB RAM, 128GB Storage) | Google Gemini| Gorilla Glass Victus+ | 7.7mm | AI Enhanced 50MP OIS Triple Camera| Nightography| Lag-free Gaming | Without Charger"/>
        <s v="REDMI A7 4G (Sky Blue, 3 GB RAM, 64GB Storage) | Large 17.48cm (6.88) Smooth 120Hz Display | 5200mAh 2-Day Battery | Royale Design | Charger in the Box"/>
        <s v="iQOO Z10 5G (Glacier Silver, 12GB RAM, 256GB Storage) | India&amp;#x27;s Biggest Ever 7300 mAh Battery | Snapdragon 7s Gen 3 Processor | Brightest Quad Curved AMOLED Display in the Segment"/>
        <s v="Lenovo V15 G4 AMD Athlon Silver 7120U Laptop 8GB LPDDR5 Ram, 512 GB SSD PCIe, Windows 11 Lifetime Validity,15.6&amp;quot; FHD Screen, AMD Radeon 610M, Silver, 1 Year Brand Warranty"/>
        <s v="Dell 15 (Previously Inspiron) Laptop, 14th Gen Intel Core i3/Core 3 100U Processor, 8GB DDR4, 512 SSD, 15.6&amp;quot; FHD 120Hz IPS 250 nit Display, Win 11 + Office H&amp;amp;S 2024, Carbon Black, Thin &amp;amp; Light 1.63Kg"/>
        <s v="Lenovo Chromebook Intel Celeron N4500 (4GB RAM/64GB eMMC 5.1/11.6 Inch (29.46cm)/HD Display/2Wx2 Stereo Speakers/HD Camera/Chrome OS/Blue/1.21Kg), 82UY0014HA"/>
        <s v="ð——ð—²ð—¹ð—¹Laptop Model 5420 | ð—œð—¡ð—§ð—˜ð—Ÿi5 11th Gen Processor |8GB DDR4 RAM |256GB SSD |14&amp;quot; FHD Display | Win10 | A+ Condition Laptop (Refab)"/>
        <s v="Dell 15, Intel Core i3/Core 3 14th Gen-100U, 16GB DDR4, 512GB SSD, FHD IPS, 15.6&amp;quot;/39.62cm, Windows 11, Microsoft Office Home 2024, Carbon Black, 1.63Kg, Thin &amp;amp; Light, Laptop Model NO - Dell 15 DCU5250"/>
        <s v="Acer Aspire 3 Laptop Intel Core Celeron N4500 Processor Laptop (8 GB LPDDR4X SDRAM/256 GB SSD/Win11 Home/38 WHR/HD Webcam) A325-45 with 39.63 cm (15.6&amp;quot;) HD Display, Pure Silver, 1.5 KG"/>
        <s v="ASUS Vivobook 15, Smartchoice, AMD Ryzen 7 5825U, 16GB RAM, 512GB SSD, FHD 15.6&amp;quot;, Windows 11, Office Home 2024, Quiet Blue, 1.7Kg, M1502YA-BQ703WS, AMD Radeon iGPU, M365 Basic (1Year)*, 42Whr Laptop"/>
        <s v="ASUS TUF A15 (2025), AMD Ryzen 7 7445HS,RTX 3050-4GB,75W TGP,16GB DDR5(Upgradeable Upto 64GB) 512GB SSD,FHD,15.6&amp;quot;,144Hz,RGB Keyboard,Windows 11,Graphite Black,2.3 Kg FA506NCG-HN199W, Gaming Laptop"/>
        <s v="ASUS Chromebook CX1405 (2026), Smartchoice,Intel N50 Processor, Intel UHD iGPU, 8GB RAM, 128GB SSD, FHD, 14&amp;quot; (35.5 cm), Chrome OS, Pure Grey, 1.39 Kg, CX1405CTA-S60622, 42WHrs, Thin &amp;amp; Light Laptop"/>
        <s v="ASUS Vivobook 15, Smartchoice,Intel Core i3 13th Gen 1315U, 16GB RAM, 512GB SSD, FHD 15.6&amp;quot;, Touchscreen, Win11, Office 24, M365 Basic (1Y), Quiet Blue, 1.7Kg, X1504VA-E83959WS, Intel UHD iGPU, Laptop"/>
        <s v="Apple 2026 MacBook Neo 13â€³ Laptop with A18 Pro chip: Built for AI and Apple Intelligence, Liquid Retina Display, 8GB Unified Memory, 256GB SSD Storage, 1080p FaceTime HD Camera; Indigo"/>
        <s v="HP 15 (2026), Refrbishd AMD Ryzen 5 Hexa Core 7535U - (8 GB DDR5/512 GB SSD/) Thin and Light Business Laptop/15.6&amp;quot; FHD Display/Turbo Silver/1.5kg"/>
        <s v="HP 15, 13th Gen Intel Core i3-1315U Laptop (8GB DDR4,512GB SSD) Anti-Glare, Micro-Edge,15.6&amp;#x27;&amp;#x27;/39.6cm, FHD, Win11,M365 Basic(1yr),Office Home24, Silver,1.59kg, FHD Camera w/Privacy Shutter, fd0569TU"/>
        <s v="Lenovo V15 G4 AMD Ryzen 5 7520U 15.6 inch FHD Laptop, AMD Graphics, 16GB DDR5 5500Mhz Ram, 512GB SSD NVMe, Windows 11, Dolby Audio, Arctic Grey, 1 Year Onsite Brand Warranty"/>
        <s v="Dell 15, 13th Gen Intel Core i5-1334U (16GB DDR4, 512GB SSD) Anti-Glare FHD 15.6&amp;quot;/39.62cm, Windows 11, Microsoft Office Home 2024, Grey, 1.66kg, [Vostro 3530], 12 Month McAfee, Thin &amp;amp; Light Laptop"/>
        <s v="HP Smartchoice OmniBook 5 OLED (Previously Pavilion), Snapdragon X Processor (16GB LPDDR5x, 512GB SSD) 2K, 14&amp;#x27;&amp;#x27;/35.6cm, Win11, M365(1yr)* Office24, Silver, 1.35kg, he0014QU, Next-Gen AI Laptop"/>
        <s v="Apple 2026 MacBook Air 13â€³ Laptop with M5 chip: AI and Apple Intelligence, 34.46 cm (13.6â€³) Liquid Retina Display, 16GB Unified Memory, 512GB SSD Storage, 12MP Center Stage Camera, Touch ID; Sky Blue"/>
        <s v="Apple 2026 MacBook Neo 13â€³ Laptop with A18 Pro chip: Built for AI and Apple Intelligence, Liquid Retina Display, 8GB Unified Memory, 256GB SSD Storage, 1080p FaceTime HD Camera; Citrus"/>
        <s v="Apple 2026 MacBook Air 13â€³ Laptop with M5 chip: AI and Apple Intelligence, 34.46 cm (13.6â€³) Liquid Retina Display, 16GB Unified Memory, 512GB SSD Storage, 12MP Center Stage Camera, Touch ID; Midnight"/>
        <s v="HP Victus, AMD Ryzen 7 7445HS, 6GB RTX 4050, 16GB DDR5(Upgradeable) 512GB SSD, 144Hz, IPS, 300nits, FHD, 15.6&amp;#x27;&amp;#x27;/39.6cm, Win11, M365* Office24, Blue, 2.29kg, fb3130AX, Backlit, DTS Audio, Gaming Laptop"/>
        <s v="Lenovo Ideapad Slim 3, 13th Gen Intel Core i7 13620H, 16GB RAM, 512GB SSD, WUXGA IPS, 15.3&amp;quot;/38.8cm, Win 11, Office 2024, Top Metal Cover Grey, 1.6Kg, 83K100CJIN/S1IN, Backlit KB, Laptop"/>
        <s v="Certified Latitude 7420 Business Laptop â€“ Core i5-1145G7, 16GB RAM, 512GB SSD, 14â€ Full HD, Win 11 Pro"/>
        <s v="ASUS Zenbook 14 (2026),Smartchoice,Intel Core Ultra 9 285H,32GB RAM,1TB SSD,OLED,Touchscreen,14&amp;quot;(35.5 cm),Win 11,M365 Basic(1Y)* Office 24,Foggy Silver,1.28 Kg,UX3405CA-QL1113WS,Thin &amp;amp; Light Laptop"/>
        <s v="Acer Smartchoice Aspire One, AMD Ryzen 3-7320U, Office 2024 + M365 Basic, 8GB LPDDR5 RAM/ 256GB SSD, 14.0&amp;quot;/35.56cm TN HD Display, Win 11 Home, Pure Silver, 1.48KG, A114-43, Thin and Light Laptop"/>
        <s v="Lenovo LOQ 13th Gen Intel Core i7-13650HX 15.6&amp;quot; (39.6cm) 144Hz 300Nits FHD Gaming Laptop (16GB/512GB SSD/Win 11/NVIDIA RTX 4050 6GB/1Yr ADP Free/MSO 24/Grey/2.3Kg), 83DV01A5IN"/>
        <s v="Apple 2026 MacBook Neo 13&amp;quot; Laptop with A18 Pro chip: Built for AI and Apple Intelligence, Liquid Retina Display, 8GB Unified Memory, 512GB SSD Storage, 1080p FaceTime HD Camera, Touch ID; Blush"/>
        <s v="HP 15 Smartchoice, 13th Gen Intel Core i3-1315U (12GB DDR4, 512GB SSD) FHD, Anti-Glare, Micro-Edge, 15.6&amp;#x27;&amp;#x27;/39.6cm, Win11, M365(1yr)*Office24, Silver, 1.59kg, fd0573TU, FHD Camera w/Shutter Laptop"/>
        <s v="HP Professional 15 (2026), Intel (i3 14th Gen) Core 3 100U - (8 GB/512 GB SSD/Intel UHD Graphics/Windows 11 Pro) Thin &amp;amp; Light Business Laptop/15.6&amp;quot; Display/Turbo Silver/Copilot Key/1.5kg/MS Office"/>
        <s v="Lenovo V15 G4 AMD Athlon Silver 7120U Laptop 8GB LPDDR5 Ram, 512 GB SSD PCIe, Windows 11/MS Office,15.6&amp;quot; FHD Screen, AMD Radeon 610M, Silver, 1 Year Brand Warranty"/>
        <s v="HP Omnibook 3, Snapdragon X Processor, 45 TOPS (16GB LPDDR5x, 512GB SSD) 2K, WUXGA, IPS, 14&amp;#x27;&amp;#x27;/35.6cm, Win 11, Office 24, Silver, 1.4kg, hz0026QU, FHD IR Camera, 42% Lighter mini GaN Charger, AI Laptop"/>
        <s v="acer Aspire Lite, AMD Ryzen 3 5300U Processor, 16 GB RAM, 512GB SSD, Full HD, 15.6&amp;quot;/39.62cm, Windows 11 Home, Steel Gray, 1.59KG, AL15-41, Metal Body, Premium Thin and Light Laptop"/>
        <s v="HP Professional 14 (2026) â€“ Intel Core 5 120U (14th Gen), 16GB RAM, 512GB SSD, Windows 11 Pro, MSO 2024, Copilot Key, Fingerprint Reader, Intel Iris Xe Graphics, 14â€³ FHD Display, 1.53Kg â€“ Turbo Silver"/>
        <s v="ASUS Vivobook 15, Thin &amp;amp; Light Laptop,(i5 14th Gen) Intel Core 5 120U (16GB/512GB SSD/Intel Graphics/ 15.6&amp;quot; FHD/Windows 11 H/Office 2024+M365 Basic(1-Year)/Backlit KB/Terra Cotta), X1504VAP-BQ1543WS"/>
        <s v="Lenovo Yoga Slim 7 Intel Core Ultra 7 155H 14&amp;quot;(35.5cm) WUXGA-OLED 400Nits Laptop (32GB RAM/1TB SSD/AI PC/2Wx4 Speakers/Windows 11/Office Home 2024/1Yr ADP Free/Grey/1.39Kg), 83CV00D3IN"/>
        <s v="HP 15, Intel Core Ultra 5 125H (16GB DDR5, 1TB SSD) FHD, IPS, 15.6&amp;#x27;&amp;#x27;/39.6cm, Win11, M365 Basic(1yr)*Office24, Silver, 1.65kg, fd1354TU, Intel Arc Graphics, FHD Camera w/Shutter, AI Powered Laptop"/>
        <s v="acer Aspire 14, 13th Gen, Intel Core i7-13620H Processors, 16 GB RAM, 512 GB SSD, Full HD IPS, 14&amp;quot;/35.56 cm, Windows 11 Home, MSO, Pure Silver, 1.44 kg, AS14H-53, Backlit KB, Thin and Light Laptop"/>
        <s v="HP Professional 15 (2026), Intel (i3 14th Gen) Core 3 100U - (16 GB/512 GB SSD/Intel UHD Graphics/Windows 11 Home) Thin &amp;amp; Light Business Laptop/15.6&amp;quot; Display/Turbo Silver/Copilot Key/1.5kg/MS Office"/>
        <s v="ð—›ð—£ð—£ð—¿ð—¼ð—¯ð—¼ð—¼ð—¸Model 430 G3 Business Laptop | InteI i5 6th Gen | 8GB RAM | 256GB SSD | WiFi | Webcam | Win10 Pro | Pre Owned &amp;amp; Professionally Tested | Excellent Condition"/>
        <s v="ASUS TUF F16, 14th Gen,Intel Core i7 14650HX,RTX 5060-8GB,16GB,1TB,FHD+,16&amp;quot;,165Hz,90WHrs,Windows 11,M365 Basic (1Year)*,Office 2024,Jaeger Gray,2.2 Kg, FX608JMR-RV049WS, Gaming Laptop"/>
        <s v="Lenovo IdeaPad Slim 3 13th Gen Intel Core i3-1315U 15.6 inch (39.6cm) FHD Laptop (8GB RAM/512GB SSD/Windows 11/Office 2024/Backlit Keyboard/1Yr ADP Free/3 Month Game Pass/Grey/1.6Kg), 82X700FXIN"/>
        <s v="Dell Inspiron 5440 Notebook Computer, Intel Core 3 100U 14th Gen Processor, 8GB DDR5 RAM, 512GB SSD, 14&amp;quot; FHD+ Screen, Ubuntu, 1Yr Warranty, Ice Blue"/>
        <s v="Dell G Series, 13th Gen Intel Core i5-13450HX, NVIDIA RTX 3050-6GB, 16GB DDR5, 512GB SSD, FHD, 15.6&amp;quot;/39.62cm, Windows 11, Microsoft Office Home 2024, 2.65KG, G15-5530, Backlit Keyboard, Gaming Laptop"/>
        <s v="acer Aspire 3, Intel Pentium N6000, 12GB LPDDR4X RAM, 512GB SSD, HD, 15.6&amp;quot;/39.62cm, Windows 11 Home, Pure Silver, 1.5KG, A325-45, Thin and Light Laptop"/>
        <s v="HP 15 Laptop, AMD Ryzen 5 7520U (16GB DDR5,512GB SSD) Win11,M365 Basic(1yr)*Office Home24, Anti-Glare,15.6&amp;#x27;&amp;#x27;/39.6cm,FHD,Backlit KB,FHD Camera w/Privacy Shutter,Radeon Graphics, Silver,1.59kg FC0690AU"/>
        <s v="HP 15, 13th Gen Intel Core i3-1315U (8GB DDR4, 512GB SSD), FHD, Micro -Edge, Anti-Glare, 15.6&amp;#x27;&amp;#x27;/39.6cm, Win11, M365* Office24, Silver, 1.59kg, fd0624tu, FHD Camera, UHD Graphics Laptop"/>
        <s v="Alienware 16 Area-51 Gaming Laptop, AI Enabled Core Ultra 9 275HX Proc, 32GB DDR5, 1TB SSD, RTX 5070Ti 12GB GDDR7 Graphics, 16.0&amp;quot; WQXGA 240Hz 500 nits Display, Liquid Teal Color, Win 11 + MSO&amp;#x27;24,3.4kg"/>
        <s v="HP 15, Intel Core 5 120U (14th Gen) 16GB DDR4, 512GB SSD, FHD, Anti-Glare, Micro-Edge, 15.6&amp;#x27;&amp;#x27;/39.6cm, Win11, M365 Basic(1yr), Office24, Silver,1.59kg, FD0640TU/682tu, FHD Camera w/Shutter, BL Laptop"/>
        <s v="Wireless Bluetooth Headphones with Deep Bass Sound, Foldable Design, Comfortable Cushioned Earpads, Built-in Mic for Music &amp;amp; Calls, Average Battery(1-3 Hours) Backup, Stylish Everyday Use"/>
        <s v="Sony WH-CH520 Wireless Bluetooth Headphones On Ear with Mic, Up to 50Hrs Battery-Pink"/>
        <s v="pTron Studio w/ 60Hrs Playtime, Wireless Over-Ear Headphones with HD Mic, Dual-Device Pairing, Immersive Sound, 40mm Drivers, BT5.4, 3.5mm Aux Port, TF Card Slot &amp;amp; Type-C Fast Charging (Beige)"/>
        <s v="Sony MDR-ZX110A On Ear Stereo Wired Headphones (White), Without Mic"/>
        <s v="ZEBRONICS Thunder (2026 Upgrade) Wireless Headphones, BT v6.0, True 60 hrs Playback, 40mm Drivers, ENC, Gaming Mode, Dual Pairing, AUX &amp;amp; microSD, Rapid Charging, Call Function (Teal Green)"/>
        <s v="boAt Rockerz 480, RGB LEDs,6 Light Modes, 40mm Drivers,Beast Mode, 60H Battery, ENx Tech, Stream Ad Free Music via App Support, Bluetooth Headphones, Wireless Over Ear Headphone with Mic (White Sabre)"/>
        <s v="Sony ULT Wear WH-ULT900N Noise Cancellation Wireless Bluetooth Over Ear Headphones with Massive Bass, Up to 50Hrs Battery-Black"/>
        <s v="Boat Rockerz 421, 60H Battery, Low Latency(40Ms), 40Mm Drivers, ENx Tech, Stream Ad Free Music via App Support, Bluetooth Headphones, Wireless Over Ear Headphone with Mic (Bold Blue)"/>
        <s v="ZEBRONICS Bro 3.5Mm Wired in Ear Earphones, in-Line Mic, Deep Bass, 1.2M Strong and Long Lasting Cable, Light Weight, Compatible with Mobile | Tablet | Laptop (Blue)"/>
        <s v="Sony WH-CH720N Active Noise Cancellation Wireless Bluetooth Over Ear Headphones with Mic, Adaptive Sound Control, Quick Charge, Up to 35Hrs Battery, Customized EQ- Blue : Model : YY2966"/>
        <s v="Boat Rockerz 411, 40Ms Low Latency, 40Hrs Battery, 40Mm Drivers, ENx Tech, Stream Ad Free Music via App Support, Bluetooth Headphones, Wireless Over Ear Headphone with Mic (Active Black)"/>
        <s v="pTron Studio Evo 70hrs Playtime Wireless Over Ear Headphones w/HD Mic, Dual Device Pairing, Low-Latency Game/Movie/Music Modes, Punchy Bass, BT5.3, Voice Assistant &amp;amp; Type-C Fast Charging (Beige)"/>
        <s v="JBL Tune 770NC Wireless Over Ear ANC Headphones with Mic, Upto 70 Hrs Battery, Speed Charge : 5 min Charge Gives up to 3H of Playback, Customized EQ, Google Fast Pair, Dual Pairing, BT 5.3 (Black)"/>
        <s v="Boat Rockerz 512 ANC,(~40dB) Hybrid ANC, 80H Battery, 40mm Drivers, 40ms Low Latency, ENx Tech,Stream Ad Free Music via App Support, Bluetooth Headphones, Wireless Headphone with Mic (Cosmic Black)"/>
        <s v="ZEBRONICS Storm Wired On Ear Headphone with 3.5mm Jack, Built-in Microphone for Calling,1.5 Meter Cable, Soft Ear Cushion, Adjustable Headband,Foldable Ear Cups (Black)"/>
        <s v="Noise Airwave Max 4 Wireless Over Ear Headphones with 70H Playtime, ENC, 40mm Driver, Low Latency(up to 40ms), Dual Pairing, BT v5.4 (Calm Beige)"/>
        <s v="Noise Two Wireless On Ear Headphones with 50 Hours Playtime, Low Latency(up to 45ms), 4 Play Modes, Dual Pairing, BT v5.3 (Bold Black)"/>
        <s v="Boat Rockerz 650 Pro, Touch/Swipe Controls, Dolby Audio, 80Hrs Battery, 2Mics ENx, Fast Charge, App Support, Dual Pair, Bluetooth Over Ear Headphones with Mic (Sage Green)"/>
        <s v="Logitech H111 Wired On Ear Headphones With Mic Black"/>
        <s v="Boat BassHeads 100 in-Ear Headphones with Mic (Black)"/>
        <s v="Boat Bassheads 211 Wired Earphones with 10mm Drivers, Signature Sound, in-Line Microphone, 3.5mm Jack, Voice Assistant &amp;amp; 120cm Cables (Raging Black)"/>
        <s v="Boat Rockerz Plus 550, Customizable Earcups, 100H Battery, 50mm Drivers, Dual Pair, Stream Ad Free Music via App Support, Bluetooth Headphones, Wireless Headphone with Mic (Black Psyche)"/>
        <s v="Marshall Major IV Wireless Bluetooth On Ear Headphone with Mic (Black)"/>
        <s v="boAt Bassheads 900 On Ear Wired Headphone With Mic"/>
        <s v="GOBOULT X Mustang Q Over Ear Bluetooth Headphones 70H Playtime, 40mm Bass Drivers, Zen ENC Mic, Type-C Fast Charging, 4 EQ Mode, Bluetooth 5.4, AUX Option, IPX5 Wireless Headphones"/>
        <s v="GOBOULT Fluid X 60Hrs Playtime, 40mm Boosted Drivers, Foldable Design, ENC Mic, 5.4v Bluetooth &amp;amp; Wired Headset (Electric Black, On the Ear)"/>
        <s v="JBL C100SI Wired In Ear Headphones with Mic, JBL Pure Bass Sound, One Button Multi-function Remote, Premium Metallic Finish, Angled Buds for Comfort fit (Red)"/>
        <s v="Razer BlackShark V2 X Smartchoice Wired Gaming Headset with Mic, 7.1 Surround Sound, 50mm Drivers, Memory Foam Cushions, Multi-Platform (PC/PS/Xbox/Switch/Mobile), 3.5mm Jack_Black"/>
        <s v="HyperX Cloud II â€“ Wired Gaming Headset for PC, PS5 / PS4. Active Noise Cancellation, Over Ear, circumaural, Closed Back, HyperX Virtual 7.1 Surround Sound - Black-Red (4P5M0AA)"/>
        <s v="Spigen Audio Newly Launched SA-HP P10 Wireless Over Ear Headphones with 60H Playtime, Upto 43dB Multi-Mode Adaptive ANC Pro, EQ Customizing App, 5-MIC, Gaming Mode, 40mm Driver - Black"/>
        <s v="boAt Rockerz Trendz, 40mm Drivers, 50hrs Battery, 60ms Low Latency, ENx Tech, BT v5.4, Foldable Cups, Voice Assistant, Bluetooth Headphones, Wireless Headphone with Mic - Bold Blue"/>
        <s v="M.G.R.JÂ® Portable Carrying Case Cover for Boat Rockerz 450 Bluetooth On Ear Headphones (Hard|EVA|Black)"/>
        <s v="Portronics Muffs M6 Over Ear Wireless Bluetooth Headphone with Upto 40 Hours Playtime, Dual Pairing, 40mm Driver, HD Mic, Bluetooth 5.4V, Foldable Design, Type C Fast Charging (Black)"/>
        <s v="Sony MDR-7506 Professional Wired On Ear Headphones (Best Compatible with Professional Cinema Line Camera) - Black"/>
        <s v="Noise Airwave Max 6 Wireless Bluetooth Headphones (2026 Launch), Hi-Res LDAC Audio, Adaptive ANC 45dB, 120H Battery, Low Latency 80ms, Deep Bass, Over-Ear Noise Cancelling Headphones (Forest Green)"/>
        <s v="HP Wired On Ear Headphones with Mic with 3.5 Mm Drivers, in-Built Noise Cancelling, Foldable and Adjustable for Laptop/Pc/Office/Home/ 1 Year Warranty (B4B09PA)"/>
        <s v="Sony ZX Series MDR-ZX310AP Wired Headband Stereo On Ear Headset -Blue"/>
        <s v="Zebronics Wireless Headphones, Hybrid ANC 48dB, Upto 100Hrs Playback, 40mm Drivers, Dual Mic ENC, BT v6.0, Gaming Mode, Dual Pairing, Touch Controls, App Support, AUX (Silencio 200T, Blue)"/>
        <s v="Apple AirPods 4 Wireless Earbuds, Bluetooth Headphones, Personalised Spatial Audio, Sweat and Water Resistant, USB-C Charging Case, H2 Chip, Up to 30 Hours of Battery Life, Effortless Setup for iPhone"/>
        <s v="JBL Live 770NC True Adaptive Noise Cancellation Headphones Wireless Over Ear, Spatial Sound, 65Hrs Playtime, Speed Charge, Multipoint Connect &amp;amp; Personi-Fi 2.0, Customized EQ, Google Fast Pair, Blue"/>
        <s v="ZEBRONICS Duke Plus (2026 Upgrade) Wireless Headphones, BT v5.4, Upto 70hrs Playback, 40mm Drivers, Gaming Mode, ENC, Dual Pairing, Rapid Charge, AUX, 3 EQ Modes (Black)"/>
        <s v="Sounce Portable Carrying Case Cover for Boult Newly Launched Q Over-Ear Bluetooth Headphones | Hard EVA Travel Storage Case with Shockproof, Waterproof, andPremium Protective Cover â€“ Black"/>
        <s v="OnePlus Bullets Wireless Z3 in-Ear Neckband with 12.4mm Drivers, 3D Spatial Audio,10 mins Charge for 27 hrs Playback, 4 EQ preset, Dynamic bass Enhancement &amp;amp; BT5.4"/>
        <s v="pTron Tangent Rush w/ 50Hrs Playtime, Pristine Sound, Dual-Device Pairing, Bluetooth 5.4 Wireless in-Ear Earphones with Mic, Voice Assistant, Type-C Fast Charging &amp;amp; IPX5 Water Resistant (Ink Blue)"/>
        <s v="Boat Rockerz 551ANC, 100HRS Battery, Hybrid ANC(~35Db), Fast Charge, Ambient Sound Mode &amp;amp; Dual EQ Modes, Enx Tech, Bluetooth Headphones, Over Ear Wireless Headphone with Mic (Sage Green)"/>
        <s v="Noise Newly Launched Airwave Max XR Wireless Over-Ear Headphones with 120H Playtime, ANC, HFA Tech, Spatial Audio, Dual Pairing,BT V6.0(Pearl Beige)"/>
        <s v="Bouncefit D20 Y68 Fitness Band Smart Watch for Men, Women, Boys, Girls, Kids â€“ Single Touch Interface, Water Resistant, Workout Modes, Quick Charge Sports Smartwatch â€“ Jet Black"/>
        <s v="Fastrack Limitless Glide X 1.83&amp;quot; Smart Watch with Ultra UV HD Display, SpO2, Heart Rate &amp;amp; Sleep Tracking, Bluetooth Calling, 100+ Sports Modes, 5-Day Battery, Smartwatch for Men &amp;amp; Women (Black)"/>
        <s v="Bouncefit M I D116 Fitness Band Smart Watch for Men, Women, Boys, Girls, Kids â€“ Single Touch Interface, Water Resistant, Workout Modes, Quick Charge Sports Smartwatch â€“ Black I"/>
        <s v="Fire-Boltt Phoenix Pro Round Smart Watch 1.39â€³ HD Display with Bluetooth Calling, AI Voice Assistant, SpO2 &amp;amp; Heart Rate Monitor, 120+ Sports Modes, IP67 Waterproof Smartwatch for Men &amp;amp; Women - Brown"/>
        <s v="Fire-Boltt Ninja X Ring Smart Watch with 1.96â€ Large Display, Bluetooth Calling, Wireless Charging, AI Voice Assistant, 500+ Watch Faces, Health Suite, Smart Watch for Man &amp;amp; Woman â€“ Blue S"/>
        <s v="Noise Twist Go Round dial Smartwatch with BT Calling, 1.39&amp;quot; Display, Metal Build, 100+ Watch Faces, IP68, Sleep Tracking, 100+ Sports Modes, 24/7 Heart Rate Monitoring (Jet Black)"/>
        <s v="Boat Wave Call 3 Smartwatch 1.83â€ HD Display with Animated Watch Faces; BT Calling, Functional Crown, Multiple Sports Modes, IP68, HR, SpO2 Monitor, Smart Watches for Men &amp;amp; Women (Spring Blossom)"/>
        <s v="Fire-Boltt Ninja Call Pro Bluetooth Calling Smart Watch, 1.69â€³ HD Display,Dual Chip,AI Voice Assistant, 120+ Sports Modes, SpO2 &amp;amp; Heart Rate Monitor, Fitness Tracker Smartwatch for Men &amp;amp; Women - Black"/>
        <s v="Fastrack Limitless Glide X 1.83&amp;quot; Smart Watch with Ultra UV HD Display, SpO2, Heart Rate &amp;amp; Sleep Tracking, Bluetooth Calling, 100+ Sports Modes, 5-Day Battery, Smartwatch for Men &amp;amp; Women (Blue)"/>
        <s v="Noise Pulse 2 Max 1.85&amp;quot; Display, Bluetooth Calling Smart Watch, 10 Days Battery, 550 NITS Brightness, Smart DND, 100 Sports Modes, Smartwatch for Men and Women (Deep Wine)"/>
        <s v="Fire-Boltt Talk Round Smart Watch 1.39â€³ TFT Display with Bluetooth Calling, Dual Button, Voice Assistance, SPOâ‚‚ &amp;amp; Heart Rate Monitor, 120+ Sports Modes, Smartwatch for Men &amp;amp; Women - Green"/>
        <s v="Boat Lunar Discovery w/ 1.39&amp;quot; (3.5 cm) HD Display, Turn-by-Turn Navigation, DIY Watch Face Studio, Bluetooth Calling, Emergency SOS, QR Tray, Smart Watch for Men &amp;amp; Women(Active Black)"/>
        <s v="MARVIK Smart Watch for Kids, Men, Boys, Girls, and Women, D20 Plus 2025, Latest for Android and iOS Phones, IP68 Waterproof with Daily Activity Tracker, Heart Rate Sensor, Sleep Monitor Watch - Black"/>
        <s v="T800 Ultra Smart Watch, Orange Ocean Band, 1.99 Inch Display, Wireless Charging"/>
        <s v="Samsung Galaxy Watch8 (44mm, LTE, Graphite) with 3nm Processor | Dual GPS | Sapphire Glass &amp;amp; Armor Aluminum | 5ATM &amp;amp; IP68 | BP, ECG, IHRN &amp;amp; Vascular Load Monitoring | Anti-oxidant Index"/>
        <s v="Fireâ€‘Boltt Rise Smart Watch 1.85â€³ HD Display with Bluetooth Calling, AI Voice Assistant, Rotating Crown,SpO2 &amp;amp; Heart Rate Monitor, 120+ Sports Modes,IP67 Waterproof Smart Watch for Men &amp;amp; Women - Black"/>
        <s v="OnePlus Watch 2 with Wear OS 4,Snapdragon W5 Chipset,Upto 100hrs battery life,1.43â€™â€™ AMOLED Display, Stainless Steel &amp;amp; Sapphire Crystal build,Dual Frequency GPS, 5 ATM, IP68 &amp;amp; BT Calling (Black Steel)"/>
        <s v="Redmi Move Smartwatch | 1.85&amp;quot; AMOLED (390Ã—450, 600 nits) | Bluetooth Calling | 140+ Sports | 24Ã—7 HR &amp;amp; SPOâ‚‚ | AOD | Up to 14-Day Battery | HyperOS (Blue Blaze Strap)"/>
        <s v="Redmi Watch 5 Lite, 1.96&amp;quot; Amoled, Advanced in-Built GPS, 5 ATM, 18 Day Battery, Bluetooth Calling with AI Noise Reduction, Always on Display, Light Gold"/>
        <s v="Fastrack Astor FR2 Pro 1.43&amp;quot; AMOLED Stainless Steel Smart Watch with SpO2, Heart Rate, BT Calling, Adaptive AOD, Functional Crown, AI Voice Assistant â€“ Smartwatch for Stylish Professionals (Black)"/>
        <s v="Bouncefit M I D116 Fitness Band Smart Watch for Men, Women, Boys, Girls, Kids â€“ Single Touch Interface, Water Resistant, Workout Modes,Quick Charge Sports Smartwatch â€“ Black I"/>
        <s v="CrossBeats Armour Pro AI Premium Smart Watch for man | Latest 1.43â€ AMOLED Always on Display | 5 ATM Waterproof | 30-Day Battery |GPS BT Calling Smartwatch |150+ Sports Modes| BP HR SPO2 (Black)"/>
        <s v="Boat Lunar Discovery Neo, 1.39&amp;quot; (3.5 cm) Round HD Display, Premium Metallic Finish, Animated Watchfaces, 100+ Sports Mode, Bluetooth Calling, Smart Watch for Men &amp;amp; Women (Active Black)"/>
        <s v="Noise ColorFit Pulse 3 with 1.96&amp;quot; Biggest Display Bluetooth Calling Smart Watch, Premium Build, Auto Sport Detection &amp;amp; 170+ Watch Faces Smartwatch for Men &amp;amp; Women - Midnight Black"/>
        <s v="T800 Ultra Smart Watch with Touch Display â€“ Bluetooth Calling Smartwatch | Health &amp;amp; Fitness Tracker with Sports Modes | Compatible with Android &amp;amp; iOS | Black Strap"/>
        <s v="Fire-Boltt Legacy Luxury Round Smart Watch 1.43â€³ Super AMOLED,Bluetooth Calling,Wireless Charging,Voice Assistant,SpOâ‚‚ &amp;amp; Heart Rate Monitor,110+ Sports Modes, Metal Smart Watch for Men &amp;amp; Women - Black"/>
        <s v="Fastrack New Limitless X2 Smart Watch, 1.91&amp;quot; UltraVU with Rotating Crown, 60 Hz Refresh Rate, Advanced Chipset, SingleSync BT Calling, 100+ Sports Mode &amp;amp; Smartwatch Faces, IP68, (Black)"/>
        <s v="Boat Storm Call 3 w/TBT Navigation, Daily Activity Tracker, DIY Watch Face Studio,700+ Active Modes, 1.83&amp;quot; (4.6 cm) HD Display Fitness Smart Watch for Men &amp;amp; Women(Active Black)"/>
        <s v="Fire-Boltt Axiom Round Smart Watch 1.43â€³ Super AMOLED Display with Alwaysâ€‘On Mode, Bluetooth Calling, Rotating Crown, SPOâ‚‚ &amp;amp; Heart Rate Monitor, IP67 Waterproof Silicone Smartwatch for Men - White"/>
        <s v="Fire-Boltt Phoenix Pro Round Smart Watch 1.39â€³ HD Display with Bluetooth Calling, AI Voice Assistant, SpO2 &amp;amp; Heart Rate Monitor, 120+ Sports Modes, IP67 Waterproof Smartwatch for Men &amp;amp; Women - Black"/>
        <s v="GameSir H18 Pro Smartwatch with Long Battery Life, 2.01&amp;quot; High-Resolution Screen, Bluetooth Calling, IP68 Waterproof, TFT Display, Luxury Design for Men &amp;amp; Women (Grey)"/>
        <s v="MARVIK Smart Watch for Kids, Men, Boys, Girls, and Women, ID116 Plus 2025, Latest for Android and iOS Phones, IP68 Waterproof with Daily Activity Tracker, Heart Rate Sensor, Sleep Monitor - Black"/>
        <s v="Huawei Watch GT 5 46mm Smartwatch, Up to 14 Days Battery Life, iOS &amp;amp; Android Compatible,Built in Maps, Pro-Level Sports Call&amp;amp;Message Reply,(Black, 46mm)"/>
        <s v="Fastrack Jupitor R2 Smart Watch, 1.38â€ TFT Display, 240 * 240 Pixel Resolution, SingleSync BT Calling, AI Voice Assistant, 100+ Sports Modes &amp;amp; Smartwatch Faces,Upto 5 Day Battery, IP68 (Black)"/>
        <s v="Fire-Boltt Ninja Call Pro Max Ultra Bluetooth Calling Smart Watch, 2.01â€HD Display, AI Outfit Watch Face, 2 Looks in 1 Watch, Extra Straps at â‚¹99, 120+ Sports Modes, Smartwatch for Men &amp;amp; Women (Black)"/>
        <s v="Garmin Forerunner 965 GPS Triathlon Smartwatch,Amoled Touchscreen, Battery Upto 23 Days, HRV Status, Advanced Sleep Score, Track Running, Cross Training, Vo2 Max, ClimbPro, Load Ratio with Black Band"/>
        <s v="GOBOULT Newly Launched Mustang Stallion Smart Watch 1.43&amp;#x27;&amp;#x27; AMOLED Display, Rotating Bezel, BT Calling, 200+Watchfaces, 700 Nits Brightness, AI Voice Assistant, SpO2 Monitoring (Turbo Orange)"/>
        <s v="Boat Ultima Aeris 1.43&amp;quot; AMOLED Display, 1000 nits Brightness, Ultra Slim 8mm Metal Build, IP68, Auto HR &amp;amp; SpO2 Monitoring, Sleep &amp;amp; Stress Tracking, Stylish Smartwatch for Men &amp;amp; Women(Tan Brown)"/>
        <s v="Fire-Boltt Phoenix Air Smart Watch 1.26â€ Round Display, Rotating Button, Wireless Charging, Ultra Lightweight Metal Body, Bluetooth Calling, Smartwatch with Silicone &amp;amp; Mesh Steel Straps Cloud White"/>
        <s v="Titan Crest 1.43â€ AMOLED Smart Watch with BT Calling, AI Morning Briefs, Functional Crown, Health Tracking, Aluminium Body, 100+ Sports Modes, Smartwatch for Men and Women - Black Silicone Strap"/>
        <s v="Fastrack Limitless FS2 Pro 1.96&amp;quot; AMOLED Smart Watch with BT Calling, AI Voice Assistant, 100+ Sports Modes, 5-Day Battery, Fast Charge, Health Tracking, â€“ Smartwatch for Men &amp;amp; Women (Beige)"/>
        <s v="Amazfit GTR 3 Pro (Smartchoice) 46mm Smart Watch with BT Phone Calls, BP Monitoring, 1.45â€AMOLED Display, 24/7 HR Tracking, Alexa, GPS, WiFi, 12-Day Battery Life,150 Sports Modes(Infinite Black)"/>
        <s v="Boat Storm Infinity w/15 Days Extensive Battery Life, Only Charge Twice a Month, Huge 550mAh Battery, Fast Charge, 1.83â€(4.65cm) Display, Fitness Tracker, Smart Watch for Men &amp;amp; Women (Active Black)"/>
        <s v="Punnk FunnkÂ® Q18 Present Smart Kids LBS Location Tracking Watch with Voice Calling, SOS, Remote Monitoring, Camera, Geo-Fencing Function (Ocean Green)"/>
        <s v="Redmi Watch 5 Active, 2&amp;quot; Display, Metal Body, 18 Day Battery, Bluetooth Calling, Advanced AI Noise Cancellation, Alexa, Matte Silver (M2351W1)"/>
        <s v="Noise Junior Explorer 2 Smart Watch for Kids with 4G SIM Compatible, 2-Way Video &amp;amp; Voice Calling, Geofencing, Real Time Location Monitoring via Google Maps, IP68, SOS Emergency Alerts (Power Pixel)"/>
        <s v="Titan Evolution Smartwatch Comes with 1.85â€ AMOLED Display with 390 * 450 Pixel Resolution|SingleSync BT Calling|AI Voice Assistant|100+ Sports Modes and Watchfaces|Upto 7 Day Battery|IP68"/>
        <s v="Noise Icon 5 Smartwatch with AI Watch Faces &amp;amp; AI Search, 1.95â€ AMOLED Display, 10 Days Battery, Bluetooth Calling, 100+ Sports Modes, IP68 (Starlight Gold)"/>
        <s v="OnePlus Pad Lite with Biggest Battery in Segment 9340 mAh, 11&amp;quot;(27.94 cm) Display with 500 nits Brightness &amp;amp; 11 Hrs of Video Playback, 6GB RAM 128GB Storage, WiFi, Aero Blue"/>
        <s v="Redmi Pad 2 Wi-Fi + Cellular, Active Pen Support, 27.94cm(11&amp;quot;) Model, 2.5K Sharp &amp;amp; Clear Display, 6GB, 128GB, All Day &amp;amp; More 9000mAh Battery, AI-Enabled, Dolby Atmos, HyperOS 2, Sky Blue"/>
        <s v="DOMO Slate SL39 10.1-Inch 4G Tablet PC, inbuilt Storage, 4GB RAM + 32GB,1TB Expandable, Dual SIM Slot, Octa Core CPU, Bluetooth, GPS (Green)"/>
        <s v="Lenovo Tab (Smartchoice)| 10.1 Inch Display| Wi-Fi Only| 4GB RAM + 128GB ROM (Expandable up to 1 TB)| Metal Body| Dual Speakers with Dolby Atmos| Android 14| Color: Polar Blue"/>
        <s v="Redmi Pad 2 Wi-Fi, Active Pen Support, 27.94cm(11&amp;quot;) Model, 2.5K Sharp &amp;amp; Clear Display, 8GB, 128GB, All Day &amp;amp; More 9000mAh Battery, AI-Enabled, Dolby Atmos, HyperOS 2, Graphite Grey"/>
        <s v="IWEGGO 15 Android Tablet, 10 18GB RAM + 128GB ROM/2TB Expandable Tablet, 2.0GHz Quad-Core Processor, 1280x800 HD Touchscreen, 5G WiFi6 BT5.0, 2-in-1 Tablets with (Navy Blue)"/>
        <s v="Lenovo Tab M8 FHD (8 inch(20cm), 4 GB, 64 GB, Wi-Fi+LTE, Calling), Grey with Camera Flash"/>
        <s v="CUPEISI Android 13 Tablet 10 inch 12GB RAM+128GB ROM/1TB Expandable Tablet, Bluetooth, Wi-Fi, 2024 Newest 2 in 1 Tablets with Keyboard Case, Mouse Capacitive Pen, 2.0 Quad Core CPU"/>
        <s v="OnePlus Pad Go 2, 30.73 cm (12.1 inch) 2.8K Display, Dolby Visionâ„¢, 120Hz Refresh Rate, Quad Speakers, AI, 10050 mAh Battery, 5G Tablet, 8GB RAM 256 GB Storage, Shadow Black"/>
        <s v="Samsung Galaxy Tab S10 Lite with AI [Smartchoice], S Pen in-Box, 27.7 cm (10.9 Inch) Display, Object Eraser, 90Hz Refresh Rate, IP42 Rating, 6GB RAM, 128GB Storage, Wi-Fi + 5G Tablet, Silver"/>
        <s v="IKALL N11 Pro Tablet - 7inch Display, 2GB RAM &amp;amp; 16GB ROM, 3000mAh Battery, Wi-Fi, Android 8.0, 2MP Rear Camera (Black)"/>
        <s v="IKALL N11 Tablet â€“ 7 inch HD Display, Android 8.0, Quad-Core Processor, 2GB RAM, 16GB Storage &amp;amp; 3000mAh Battery - Black"/>
        <s v="IKALL N11 Pro 7â€ Android Tablet â€“ 2GB RAM, 16GB Storage (Expandable), WiFi Enabled | 3000mAh Battery | Dual Camera | Compact &amp;amp; Lightweight Tablet for Entertainment &amp;amp; Learning (Black)"/>
        <s v="Samsung Galaxy Tab A11+ [Smartchoice], 27.82 cm (11 inch) Display, 6 GB RAM, 128 GB Storage, 90Hz Refresh Rate, AI with Google Gemini, Dolby Atmos, Quad Speakers, Wi-Fi Tablet, Gray"/>
        <s v="Apple iPad Air 27.59 cm (11â€³) (M4): Liquid Retina Display, 128 GB, 12MP Front/Back Camera, Wi-Fi 7 with Apple N1, Touch ID, All-Day Battery Life â€” Purple"/>
        <s v="Lenovo Idea Tab Plus with Pen |Wifi +5G |12.1&amp;quot; 2.5K Display, 800nits Peak Brightness |8GB RAM + 256GB ROM (Expandable upto 2TB)| MediaTek Dimensity 6400| 10200mAh|4 Speakers with Dolby Atmos|Luna Grey"/>
        <s v="ECOPAD Android 13 Tablet 2023 - 10 Inch With 6GB RAM, 64GB ROM, 1TB Expanded, Quad-Core, 2 in 1 With Keyboard Mouse, Wi-Fi 6, Bluetooth, GMS Certified IPS Touch Screen - Black Set"/>
        <s v="Lenovo Tab Plus with Octa JBL Hi-Fi Speakers| 8 GB RAM, 128 GB ROM| 11.5 Inch, 2K, 90 Hz Refresh| Wi-Fi Tablet| Android 14| 45 W Fast Charger| Built-in Kickstand| Color: Luna Grey"/>
        <s v="HOTTABLET Tablet 7 Inch Android 14.0 with Protective Case, 8GB (4+4GB Expand) RAM+32GB ROM, IPS Screen, Dual Camera, Bluetooth 5.0 WiFi Tab (Gray)"/>
        <s v="Lenovo Idea Tab Smartchoice with Pen|5G + Wi-Fi|11 Inch,2.5K Display, 500 Nits Brightness|8GB RAM + 256GB ROM(Expandable Up to 2 TB)|Mediatek Dimensity 6300|Android 15|4-Speakers with Dolby Atmos,Grey"/>
        <s v="Redmi Pad 2 Pro [Smartchoice] | 12000mAh | Snapdragon 7s Gen 4 | 12.1-inch,2.5K Display |83+ Days Standby |HyperOS 2 |120Hz |Dolby Vision Atmos |Wi-Fi 6 |AI Powered | 8GB, 128GB | Quick Silver"/>
        <s v="IWEGGO Android 15 Tablet, 10 inch 12GB RAM+64GB ROM+1TB Expandable, 1.8Ghz Quad-core Processor, 2 in 1 Tablets with Keyboard Case Mouse Stylus, 5G Wifi, 8MP Dual Camera, 1280*800 HD Screen Tablet Blue"/>
        <s v="Motorola Pad 60 Neo (Blue, 8 GB RAM, 128 GB ROM)"/>
        <s v="DOMO Slate SL39 10.1-Inch 4G Tablet PC, inbuilt Storage, 4GB RAM + 32GB,1TB Expandable, Dual SIM Slot, Octa Core CPU, GPS, Bluetooth (Green)"/>
        <s v="Lenovo Idea Tab Pro Gen 2 with Pen Plus | 13&amp;quot; Display, 3.5K Resolution, 144Hz Refresh | 8GB, 256GB | Snapdragon 8s Gen 4 | 10200mAh | 4 JBL Speakers| USB 3.0 with DP-Out | Wi-Fi 7 | Luna Grey"/>
        <s v="Lenovo {Smartchoice} Idea Tab Pro with Pen Plus &amp;amp; Keyboard|12.7&amp;quot; 3K Display|144 Hz Refresh|12 GB RAM, 256 GB ROM| AI-Enabled| MediaTek Dimensity 8300|4 JBL Speakers|10200 mAh Battery with 45 W Charger"/>
        <s v="XIAOMI Pad 7 Nano Texture Display [Smartchoice] | Snapdragon 7+ Gen 3| 3.2K Display (28.44 cm /11.2&amp;quot;) Tablet| 12GB, 256GB| Anti-Reflective| Anti-Glare| HyperOS 2| Dolby Vision Atmos |Sage Green"/>
        <s v="Lenovo M8 HD 2nd Gen with Wi-Fi (8 Inch, 3GB, 32 GB) [Year-2020], Grey"/>
        <s v="Baatu Enable Tablet - Parental Control Tab for Kids (10.1 inch) | Screen Time Monitor, App Blocker, Content Monitor &amp;amp; Location Tracking | 6000 mAH Battery | 4G &amp;amp; WiFi Calling | 4GB RAM, 64 GB ROM"/>
        <s v="OnePlus Pad 2 (12.1 Inch),12GB RAM, 256GB Storage Snapdragon 8 Gen 3,144Hz Refresh Rate, 6 Speakers, 3K 12.1 Display, AI Features, 9610 mAh Battery, Wi-Fi with Cellular Data Sharing [Nimbus Gray]"/>
        <s v="Lenovo Yoga Tab Plus Smartchoice AI Tablet with Pen+Keyboard |12.7&amp;quot; Display, 3K Resolution, 144 Hz|16GB RAM, 256GB ROM| Snapdragon 8 Gen 3|10200 mAh|6 Speakers| USB 3.0 with DP-Out|1Year ADP Free|Teal"/>
        <s v="OnePlus Pad 29.49Cm LCD Display, 12Gb Ram,256Gb Storage, Mediatek Dimensity 9000, Android 13.1, 144Hz Refresh Rate, Dolby Vision Atmos, Wi-Fi with Cellular Data Sharing Tablet, Green"/>
        <s v="Apple iPad 11â€³: A16 chip, 27.69 cm (11â€³) Model, Liquid Retina Display, 128GB, Wi-Fi 6, 12MP Front/12MP Back Camera, Touch ID, All-Day Battery Life â€” Silver"/>
        <s v="OnePlus Pad 4, SnapdragonÂ® 8 Elite Gen 5 Platform, 33.53cm 13.2&amp;quot; 3.4K Screen, 144Hz Adaptive, 8 Speakers, AI Powered, PC-Level Productivity, 13,380 mAh Battery, 12GB + 512GB, WiFi,Dune Glow"/>
        <s v="DOMO Slate SL39 10.1-Inch 4G Tablet PC, inbuilt Storage, 4GB RAM + 32GB,1TB Expandable, Dual SIM Slot, Bluetooth, Octa Core CPU, GPS, (Green)"/>
        <s v="OnePlus Pad 4, SnapdragonÂ® 8 Elite Gen 5 Platform, 33.53cm 13.2&amp;quot; 3.4K Screen, 144Hz Adaptive, 8 Speakers, AI Powered, PC-Level Productivity, 13,380 mAh Battery, 8GB + 256GB, WiFi,Sage Mist"/>
        <s v="Acer Iconia 5G Tablet|11.45&amp;quot; 2.2kâ€90Hz IPS Display, MediaTek 8791 Processor, 8GB RAM + 128GB Storage, 16MP Rear+8MP Front Camera,Wi-Fi + 5G Volte, Android 15,BT 5.2, Slim Metal Body,Silver"/>
        <s v="Lenovo {Smartchoice} Idea Tab Pro with Pen Plus|12.7&amp;quot; 3K Display|144 Hz Refresh|12 GB RAM, 256 GB ROM| AI-Enabled| MediaTek Dimensity 8300|Quad JBL Speakers|10200 mAh Battery with 45 W Charger|WiFi 6e"/>
        <s v="Motorola Pad 60 Neo (Pantone Bronze Green, 8GB RAM, 128GB Storage)"/>
        <s v="IKALL N16 Pro Smart Tablet â€“ 8 Inch HD Display, Octa Core Processor, 4GB RAM + 32GB ROM, Android 12, 4G Voice Calling, Long-Lasting 5000mAh Battery (Blue)"/>
        <s v="DOMO Slate SL39 4G Tablet 10.1 inch, 4GB RAM + 32GB ROM, 4G Connectivity, inbuilt Storage, 1TB Expandable, Dual SIM Slot, Bluetooth Octa Core CPU GPS, (Grey)"/>
        <s v="Samsung Galaxy Tab A9 22.10 cm (8.7 inch) Display, RAM 4 GB, ROM 64 GB Expandable, Wi-Fi+4G, Tablet, Dark Blue"/>
        <s v="XIAOMI Pad 8 [Smartchoice] Flagship Snapdragon 8s Gen 4 |11.2&amp;quot; 3.2K Display | 8GB, 128GB | Ultra Slim Metal Design | 9200mAh Battery | 68 Bn+ Colours HyperAI | Wi-Fi 7 | Titanium Blue"/>
        <s v="XP-Pen Magic Note Pad 10.95&amp;quot; Digital Note-Taking Tablet, Paper-Like LCD Display, 3-Color Modes, 16K Pressure Stylus (X3 Pro Pencil 2), 6+128GB, Android 14 â€“ for Writing, Reading, PDF Notes &amp;amp; Study"/>
        <s v="Samsung Galaxy Tab S10 FE [Smartchoice], S Pen in-Box, 27.7 cm (10.9 inch) Display, AI Writing, Desktop Mode, Pre Loaded Pro Apps, 8 GB RAM, 128 GB Storage, Wi-Fi Tablet, Silver"/>
        <s v="OnePlus Pad 3 World&amp;#x27;s Fastest Snapdragon 8 Elite Processor, 13.2&amp;quot; 3.4k Screen, 144Hz Adaptive Refresh Rate, 8 Speakers, AI, 12140 mAh Battery, 12 GB RAM + 256 GB ROM WiFi, Storm Blue"/>
        <s v="Samsung Galaxy Tab S10 Plus [Smartchoice], S Pen in-Box, 31.5 cm (12.4 inch) Dynamic AMOLED 2X Display, 12 GB RAM, 256 GB Storage, Wi-Fi + 5G Tablet, Moonstone Gray"/>
        <s v="IKALL N12 7-Inch Android Tablet | 3GB RAM, 16GB ROM | 2MP Rear Camera | 3000mAh Battery | WiFi Tablet â€“ Black"/>
        <s v="HAMMER Airflow Neo Earbuds with 80H Playtime, 13mm Titanium Driver, 40ms Gaming Mode, Fast Charging Buds, Type-C Charging, Voice Assistant, Lightweight Dual-Tone Design (Grey)"/>
        <s v="Boat Airdopes 219, 4Mics ENx, 40H Battery, Best in Segment for Calling, Stream Ad Free Music via App Support, Bluetooth Earbuds, TWS Ear Buds Wireless Earphones with mic (Forest Sage)"/>
        <s v="DuoPods Infinity True Wireless Earbuds, 70H Playtime, 3D Soundstage, AI-ENC HD Calls, 13mm Drivers, AAC Audio, Bluetooth 5.3, IPX4, Made in India"/>
        <s v="OnePlus Nord Buds 3r TWS Earbuds up to 54 Hours Playback, 2-mic Clear Calls, 3D Spatial Audio, AI Translation, 12.4mm Drivers, Dual-Device Connectivity, 47ms Low Latency - Ash Black"/>
        <s v="CMEE BURDS Earbuds Wireless Bluetooth 5.3 TWS Earphones with Full Touch Control, Built-in Microphone, Premium Sound Quality, Fast Stable Connection, Type C Charger"/>
        <s v="Kratos TW02 Ear Buds Wireless with 30H Playtime, Noise Isolation &amp;amp; Clear Calls, Bluetooth Earbuds with Voice Assistant, Ear Buds with Bluetooth V 5.3 &amp;amp; with Type C Fast Charging, IPX5 TWS Earphones"/>
        <s v="HAMMER Ultra Pods True Wireless Earbuds with in-Built Mic, 100H Standby Time, 1H Charging USB Type-C, 13mm Dynamic Drivers, 50H Playtime, BT v6.0 Connectivity, IPX5 Water Resistant (Beige)"/>
        <s v="Philips TAT1269 Bluetooth Truly Wireless in Ear Earbuds with mic, 13mm Drivers, Bluetooth 5.4, 40H Playtime, IPX5, Fast Charging, Touch Controls, Voice Assistant, Mono Mode, LED Indicator (Deep Black)"/>
        <s v="Boat Airdopes Joy, 35Hrs Battery, Fast Charge, IWP Tech, Low Latency, 2Mic ENx, Type-C Port, v5.3 Bluetooth Earbuds, TWS Ear Buds Wireless Earphones with mic(Jet Black)"/>
        <s v="Boat Airdopes 141 Gen 2, 4 Mics ENx Tech, 48 Hrs Playback, Free Music Streaming, Fast Charge, Low Latency, IPX4, v5.4 Bluetooth Earbuds, TWS Ear Buds Wireless Earphones with mic (Active Black)"/>
        <s v="realme Buds T200x True Wireless Earbuds with 12.4mm Dynamic Bass Drivers, 25 dB ANC, Quad Mic, 45ms Latency, Upto 48 Hrs Playback, Fast Charge, IP55 Rated, BT 5.4 (Pure Black)"/>
        <s v="Earbuds for One-Plus Nord CE 2 Lite Earbuds Original Like True Wireless Bluetooth in-Ear Headphones Earphones TWS with Mic, Touch Controls, Deep Bass, Sports (38 Hours Case, OPBR1)"/>
        <s v="OnePlus Buds 4 TWS Earbuds with Upto 55dB Real-time ANC, Adaptive Mode, Dual Drivers with DACs, 3D Audio, Upto 45hrs Music Playback, ,Dual-Device connectivity, 47ms Low Latency, Zen Green"/>
        <s v="boAt Airdopes 101v2, 35H Battery, ENx Tech, 13mm Drivers, ASAP Charge, Flex-Fit Ear Tips,Stream Ad Free Music via App Support, Bluetooth Earbuds, TWS Ear Buds Wireless Earphones with mic (Pitch Black)"/>
        <s v="OnePlus Nord Buds 3 Truly Wireless Bluetooth Earbuds with up to 32dB Active Noise Cancellation, 10mins for 11Hours Fast Charging with Up to 43h Music Playback -Melodic White"/>
        <s v="Boat Airdopes Plus 311, Glass Design, ENx Tech, Fast Charge, 50 Hrs Battery, Stream Ad Free Music via App Support Bluetooth Earbuds, TWS Ear Buds Wireless Earphones with mic (Charcoal Black)"/>
        <s v="realme Buds T310 Truly Wireless in Ear Earbuds with 46dB Hybrid ANC, 360Â° Spatial Audio, 12.4mm Dynamic Bass Driver, Upto 40Hrs Battery and Fast Charging (Agile White)"/>
        <s v="Samsung Galaxy Buds Core (Black) Galaxy AI Enabled in-Ear TWS with ANC | Enriched Bass | 6 Mic Setup | IP54 | 35hrs Battery | Touch Controls"/>
        <s v="GOBOULT Z40 True Wireless in Ear Earbuds with 60H Playtime, Zenâ„¢ ENC Mic, Low Latency Gaming, Type-C Fast Charging, Made in India, 10mm Rich Bass Drivers, IPX5, Ear Buds TWS (White)"/>
        <s v="Samsung Galaxy Buds4 Pro (Black) in-Ear Wireless Earbuds with Hi-Fi Audio | Adaptive ANC 2.0 and EQ 2.0 | 2-Way Speaker | 360-Audio | Voice Detect | Live Translation | Head Gesture | IP57"/>
        <s v="Portronics Conch Theta C in Ear Type C Wired Earphones with in Line HD Mic, Powerful Audio, 14.2mm Driver, Unique Earbuds Design, TPE Anti Tangle Wire, in line Controls, Wide Compatibility(Orange)"/>
        <s v="realme Buds Air 8,11mm+6mm Dual Dynamic Bass Drivers,58Hrs Playtime, 55dB ANC,6 Mic ENC, 45ms Low Latency, 360Â° Spatial Audio, Hi-Res LHDC, IP55 Dust &amp;amp; Water Resistant, BT v5.4 (Master Grey)"/>
        <s v="Noise Buds VS102 Plus Wireless Earbuds, Bluetooth Earbuds with 70H Playtime, Quad Mic ENC for Clear Calls, 11mm Drivers, Deep Bass, Instacharge, Bluetooth v5.3 (Matte Black)"/>
        <s v="OnePlus Nord Buds 4 Pro TWS Earbuds Upto 55dB Real-time ANC, Adaptive Mode, 12mm Titanium-Coated Driver, Spatial Audio, Upto 54hrs Playback, Dual-Device connectivity, 47ms Low Latency, Radiant Gray"/>
        <s v="soundcore by Anker R50i VI True Wireless Earbuds, 10mm Drivers with Big Bass, Bluetooth 5.3, 30H Long Playtime, Water-Resistant, 2 Mics for AI Clear Calls, 22 Preset EQs, Customization (White)"/>
        <s v="Noise Buds VS104 Truly Wireless Earbuds with 45H of Playtime, Quad Mic with ENC, Instacharge(10 Min=200 Min), 13Mm Driver, Low Latency, BT V5.2 (Snow White)"/>
        <s v="pTron Bassbuds Spark in-Ear TWS Earbuds with Stereo Sound, 40Hrs Playtime, Stereo Calls, Bluetooth V5.3 Headphones with Quick Pairing, Touch Control, Voice Assistant, Type C Charging &amp;amp; IPX5 (Black)"/>
        <s v="realme Buds Air 7,12.4mm Dynamic Bass Drivers,52Hrs Playtime,52dB Hybrid ANC,6 Mic ENC,45ms Low Latency,360Â° Spatial Audio,Hi-Res LHDC,IP55 Dust &amp;amp; Water Resistant,True Wireless TWS BT v5.4(Moss Green)"/>
        <s v="JBL Wave Buds 2 Wireless Ear Buds - Black"/>
        <s v="Kratos Cube Ear Buds Wireless with 30H Playtime, Noise Isolation &amp;amp; Clear Calls, Bluetooth Earbuds with Voice Assistant, Ear Buds with Bluetooth V 5.3 &amp;amp; with Type C Fast Charging, IPX4 TWS Earphones"/>
        <s v="Mivi DuoPods Marathon Earbuds Wireless | Fast Charge | 70H Playtime | BT v5.3 | 13mm Drivers | Noise Cancellation | IPX4.0 TWS"/>
        <s v="Sounce Earphone Case Cover for Boat Airdopes 300 Premium TWS Soft Silicone Skin Case Cover Shock Absorbing Protective Case with Keychain [Front LED Visible] - Black"/>
        <s v="Earbuds for One Plus 12r/11r/10r/10t/10/10 pro/9/9 pro/8T/8/8pro/7Pro/7T/7TPro/Nord/Ce3 lite Wireless Earbuds (OPBR51)"/>
        <s v="Noise Pure Pods Wireless Open Ear Earbuds with AirWaveâ„¢ Technology,Up-to 80H Playtime,Quad Mic with ENC,16mm Neodymium Dynamic Driver,Detachable Pure Band,BTv5.3 (Power Black)"/>
        <s v="OnePlus Nord Buds 4 Pro TWS Earbuds, Upto 55dB Real-time ANC, Adaptive Mode, 12mm Titanium-Coated Driver, Spatial Audio, Upto 54hrs Playback, Dual-Device connectivity, 47ms Low Latency, Raven Black"/>
        <s v="Boat Nirvana Space, 360Âº Spatial Audio, Active Noise Cancellation (~32dB), 100Hrs Battery,4Mics ENx, Fast Charge, v5.3 Bluetooth Earbuds, TWS Ear Buds Wireless Earphones with mic (Cosmic Black)"/>
        <s v="GOBOULT W20 Truly Wireless in Ear Earbuds with 40H Playtime, Zenâ„¢ ENC Mic, 45ms Low Latency, 13mm Bass Drivers, Type-C Fast Charging, Touch Controls, IPX5 Ear Buds TWS (Space Black)"/>
        <s v="Sony WF-C710NSA | Dual Noise Cancellation Wireless Bluetooth in Ear Earbuds | AI Call Quality | 40Hrs Battery W/O ANC | 30Hrs Battery with ANC - Black"/>
        <s v="CME Buds 2A Global Version in-Ear Wireless Earphone 12.4mm Driver 42dB ANC 4HD Mics Up to 35.5H Playback IP54 BT 5.4"/>
        <s v="Boat Nirvana Ivy, 50dB Hybrid ANC, 360Âº Spatial Audio, Dynamic Head Tracking,Fast Charge,App Support, 50HRS Battery, v5.3 Bluetooth Earbuds, TWS Ear Buds Wireless Earphones with mic (Quartz Cyan)"/>
        <s v="Noise Buds Mini Truly Wireless Earbuds (2026) | Half in-Ear Design | 40H Playtime | Quad Mic ENC for Clear Calls | 13mm Driver | Low Latency Gaming Mode | BT v5.3 | IPX4 Sweat Resistant - Jet Black"/>
        <s v="GOBOULT Tenet TWS Earbuds with 75H Playtime, Amp App Support, Quad Mic ENC, Dual Device Pairing Buds, 13mm Driver Ear Buds, Bluetooth 5.4 Wireless Earbuds (Turbo Orange)"/>
        <s v="Noise Newly Launched Buds Connect 3 Truly Wireless Earbuds with 40H of Playtime, Quad Mic with ENC, Low Latency, 10mm Driver, BT V5.4(Slate Black)"/>
        <s v="Boat 2026 Launch Nirvana Crown, Sonic ARC, LEDs, Haptic Feedback,50dB Hybrid ANC,Spatial Audio, 6 Mic ENx, App Support, v6.0 Bluetooth Earbuds, TWS Ear Buds Wireless Earphones with mic (Blazing Red)"/>
        <s v="Noise Buds N1 Truly Wireless Earbuds with Chrome Finish, 40H of Playtime, Quad Mic with ENC, Ultra Low Latency Gaming (Up to 40 Ms), Instacharge(10 Min=120 Min), Bluetooth V5.3(Ice Blue)"/>
        <s v="Sounce Earphone Case Cover for Boat Airdopes 800 TWS Soft Silicone Skin Case Cover Shock Absorbing Protective Case with Keychain [Front LED Visible] - Black"/>
        <s v="GOBOULT Mustang Torq Wireless in Ear Earbuds with 60H Playtime, App Support, Quad Mic ENC, 45ms Low Latency, 13mm Driver, Breathing LEDs, Made in India Ear Buds Wireless (Silver)"/>
        <s v="VW 80 cm (32 inches) OptimaX Series HD Ready Smart QLED Android TV VW32AQ1"/>
        <s v="VW 109 cm (43 inches) Spectra Series Full HD Smart QLED Android TV VW43AQ3"/>
        <s v="Xiaomi 80 cm (32 inch) F Series HD Ready Smart LED Fire TV L32MB-FIN"/>
        <s v="Samsung 108 cm (43 inches) FHD Smart LED TV UA43F5550FUXXL"/>
        <s v="Uniboom_Optima Series 60 cm (24 inch) HD Ready LED TV 2025 Edition with 30W Sonic Boom - True Frameless - Aura Vision+ Display - (Non Smart)- 24N-ULT-AED"/>
        <s v="Kodak QLED SE 100 cm (40 inch) QLED Full HD Smart Linux TV 2025 Edition (40QSE5009)"/>
        <s v="TCL 101 cms (40 inches) V5C Series Full HD Smart QLED TV Google TV 40V5C"/>
        <s v="Foxsky 139 cm (55 inch) Frameless Series QLED 4K Ultra HD LED Smart TV FS55GATV (Black)"/>
        <s v="Philips 108 cm (43 inches) 6100 Series Frameless Full HD Smart LED Google TV 43PFT6130/94"/>
        <s v="VW 80 cm (32 inches) Frameless Series HD Ready Android Smart LED TV VW32S"/>
        <s v="Blaupunkt 80 cm (32 inches) Quantum Dot Series QLED Google Android TV 32QD7080"/>
        <s v="Philips 165 cm (65 inches) 8100 Series 4K Ultra HD Smart QLED Google TV 65PQT8100/94"/>
        <s v="coocaa 164 cm (65 inches) 4K Ultra HD Smart Mini LED QLED Google TV 65MINI75Q"/>
        <s v="Xiaomi 108 cm (43 inch) A Full HD Smart Google LED TV L43MB-AFIN"/>
        <s v="Uniboom_Optima Series102 cm (40 inch)HD Smart LED TV | Android TV with Voice Command App |5000+ Free Movies |30W Sonic Boom Speakers| 500+ Certified Apps |Mobile Remote |Mobile Screen Cast 40S-ULT-AED"/>
        <s v="Onida 108 cm (43 inch) QLED Ultra HD 4K Smart Fire TV Q43UFD"/>
        <s v="TCL 189 cm (75 inches) Metallic Bezel Less Series 4K Ultra HD Smart LED Google TV 75V6C (Black)"/>
        <s v="VW 127 cm (50 inches) Pro Series 4K Ultra HD Smart QLED Google TV VW50GQ2"/>
        <s v="VW 80 cm (32 inches) Pro Series HD Ready Smart QLED Google TV VW32GQ1"/>
        <s v="Samsung 138 cm (55 inches) Vision AI 4K Ultra HD Smart QLED TV QA55QEF1AULXL"/>
        <s v="Samsung 125 cm (50 inches) Crystal 4K Vista Ultra HD Smart LED TV UA50UE81AFULXL"/>
        <s v="80 cm (32 inches) Glow Series HD Ready Smart QLED Android TV BAZ32S (Black)"/>
        <s v="Philips 138 cm (55 inches) 4K Ultra HD QLED Smart QD-Mini LED Google TV 55MLED610/94"/>
        <s v="Acer 127 cm (50 inches) Ultra I Series 4K Ultra HD Smart LED Google TV AR50UDGGU2875BD"/>
        <s v="24â€INCH HD Ready Android Smart LED TV | WiFi Enabled | Built-in Apps Compatible (YouTube, Netflix, Prime Video) | Screen Mirroring | HDMI, USB Connectivity | Premium Slim &amp;amp; Stylish Design Black"/>
        <s v="Vu 164cm (65 inches) Vibe Series 4K QLED Smart Google TV 65VIBE-DV"/>
        <s v="TCL 139 cm (55 inches) 4K Ultra HD Smart QLED Google TV 55T8C"/>
        <s v="Xiaomi 138 cm (55 inch) X Ultra HD 4K Smart Google LED TV L55MB-AIN"/>
        <s v="Vu 139cm (55 inches) Masterpiece Frame Series 4K QLED TV 55MASTERPIECE (Armani Gold)"/>
        <s v="TCL 189 cm (75 inches) 4K UHD Smart QD-Mini LED Google TV 75Q6C"/>
        <s v="Hisense 305 cm (120 inches) Trichrom ALR Screen Series 4K Ultra HD Smart Laser TV 120L9HE (Black)"/>
        <s v="TCL 80 cms (32 inches) V4C Series HD Ready Smart QLED Google TV 32V4C"/>
        <s v="Xiaomi 165 cm (65 inches) 4K UHD Smart Quantum MagiQ S Mini LED Google TV L65MC-IN"/>
        <s v="LG 126 cms (50 inches) NU87 AI Series Nano 4K Ultra HD Smart webOS VA LED TV 50NU870BPLA"/>
        <s v="Samsung 214 cm (85 inches) 4K Ultra HD Smart QLED TV QA85Q60BAKXXL (Black)"/>
        <s v="Vu 164cm (65 inches) GloQLED Series 4K QLED Smart Google TV 65GLOQLED25"/>
        <s v="Onida 80 cm (32 inch) Smart Genius Series HD Ready Smart LED TV 32AHI"/>
        <s v="TCL 248 cm (98 inches) 4K Ultra HD Smart QLED Google TV 98P8K"/>
        <s v="LG 126 cm (50 inches) UA82 AI Series 4K Ultra HD (3840 x 2160) Smart webOS LED TV 50UA82006LA"/>
        <s v="JVC 190 cm (75 inches) AI Vision Series QLED Google TV LT-75NQ7165C (Black)"/>
        <s v="Sony 215 cm (85 inches) BRAVIA 3II Ultra HD Smart LED Google TV K-85XR35M"/>
        <s v="Sony 189 cm (75 inches) BRAVIA 2M2 Series 4K Ultra HD Smart LED Google TV K-75S25BM2"/>
        <s v="VW 165 cm (65 inches) Pro Series 4K Ultra HD Smart QLED Google TV VW65GQ2"/>
        <s v="Samsung 214 cm (85 inches) 4K Ultra HD Smart Neo QLED TV QA85QN90BAKXXL (Titan Black)"/>
        <s v="coocaa 138 cm (55 inch) Frameless UHD 4K Smart Google TV 55Y74"/>
        <s v="Lumio Vision 7 127 cm (50 inches) 4K Ultra-HD Smart QLED Google TV FTW2-ADSG"/>
        <s v="LG 217 cm (86 Inches) Nano 85A Series 4K UHD Smart TV 86NANO85A6A"/>
        <s v="Haier 80cm (32) W4G Series HD Ready Smart Google TV 32W4G"/>
        <s v="Haier 165 L 1 Star Direct Cool Single Door Refrigerator with Diamond Edge Freezing Technology, Easy Clean Back, Large Vegetable Box (HED-171MSA-P, Moon Silver, 2026 Model)"/>
        <s v="Whirlpool 184 L 2 Star Direct-Cool Single Door Refrigerator (205 WDE CLS 2S SAPPHIRE BLUE-Y, Blue, 2026 Model)"/>
        <s v="Godrej 180 L 2 Star| 5 Years Comprehensive Warranty | Toughened Glass Shelves | Single Door Refrigerator (2026 Model, RD EDGE 205BN THF PP BL, Pep Blue)"/>
        <s v="Voltas Beko, A Tata Product 183 L, 2-Star Single Door Direct Cool Refrigerator with Fresh Box Technology (RDC215C / 2S0XER0M0000GO, Hairline Blue)"/>
        <s v="Samsung 189 L, 5 Star, Digital Inverter, Direct-Cool Single Door Refrigerator (RR21H2H25RZ/HL, Midnight Blossom Red, Base Stand Drawer, Single Touch Defrost, 2026 Model)"/>
        <s v="Samsung 189 L, 5 Star, Digital Inverter, Direct-Cool Single Door Refrigerator (RR21H2H25CU/HL, Camellia Blue, Base Stand Drawer, Single Touch Defrost, 2026 Model)"/>
        <s v="Haier 190 L 4 Star Direct Cool Single Door Refrigerator with Fast Ice Making, Easy Clean Back, Large Vegetable Box (HED-204TMIBA-N, Marine Ivy, Base Stand Drawer, 2026 Model)"/>
        <s v="Godrej 185 L 4 Star Rating| 5 Years Comprehensive Warranty | Toughened Glass Shelves | 24 Day Farm Freshness| Jumbo Vegetable Tray | Single Door Refrigerator (RD 195DN TAI MN BL, Marine Blue)"/>
        <s v="Samsung 183 L, 4 Star, Digital Inverter, Direct-Cool Single Door Refrigerator (RR20H28249U/NL, Paradise Bloom Blue, Base Stand Drawer, Single Touch Defrost, 2026 Model)"/>
        <s v="Godrej 183 L 3 Star 5 Years Comprehensive New Launch | Toughened Glass Shelves | 24 Day Farm Freshness | Jumbo Vegetable Tray | Single Door Refrigerator (RD R190CN THF FR BL, Floral Blue)"/>
        <s v="Haier 100 L 2 Star Direct Cool Single Door Mini Bar Refrigerator with Chiller Freezer Box, LED Light for Clear View, Lock &amp;amp; Key and Easy Clean Back (HRD-1252KSA, Black Steel, 2026 Model)"/>
        <s v="Samsung 183 L, 4 Star, Digital Inverter, Direct-Cool Single Door Refrigerator (RR20H27249R/NL, Paradise Bloom Purple, Single Touch Defrost, 2026 Model)"/>
        <s v="Voltas Beko, A Tata Product 472 L Side by Side Frost Free Refrigerator with ProSmart Inverter Compressor (RSB495/FPV300RXID, INOX steel, Electronic Temperature Control and Display)"/>
        <s v="Samsung 189 L, 5 Star, Digital Inverter, Direct-Cool Single Door Refrigerator (RR21H2H25WB/HL, Wild Lily Blue, Base Stand Drawer, Single Touch Defrost, 2026 Model)"/>
        <s v="Haier 190 L 5 Star Direct Cool Inverter Single Door Refrigerator with Fast Ice Making, Easy Clean Back, Large Vegetable Box (HED-205DSA-P, Dazzle Steel, 2026 Model)"/>
        <s v="Whirlpool 235 L Frost Free Triple-Door Refrigerator | Zeolite Technology | Microblock Technology(FP 253D PROTTON ROY RADIANT STEEL(Z), Up to 44% Reduction in Cold Air Loss*]"/>
        <s v="Haier 190 L 5 Star Direct Cool Inverter Single Door Refrigerator with Fast Ice Making, Easy Clean Back, Large Vegetable Box (HED-205TMIBA-N, Marine Ivy, Base Stand Drawer, 2026 Model)"/>
        <s v="Whirlpool 192 L 4 Star Icemagic Powercool Direct-Cool Single Door Refrigerator with Base Drawer (215 IMPC ROY 4S SAPPHIRE PEONY-Y, Blue, 2026 Model)"/>
        <s v="Haier 185L 2 Star Direct Cool Single Door Refrigerator | Toughened Glass Shelves | Large Veg Box | Fast Ice Making | Longer Cooling Retention | Easy Clean Back (HED-19TMS-N, Moon Silver)"/>
        <s v="IFB 206L 5 Star Advanced Inverter Direct-Cool Single Door Refrigerator with 30 Hrs Cooling Retention, Big Vegetable Box, 4 Year Super Warranty &amp;amp; Base Stand (2026, IFBDC-232EYBPED, Paradise Dream Blue)"/>
        <s v="Whirlpool 192 L 3 Star Vitamagic PRO Frost Free Direct-Cool Single Door Refrigerator (215 VMPRO PRM 3S RADIANT STEEL-Y, Silver, Auto Defrost Technology, 2026 Model)"/>
        <s v="LG 185 L, 4 Star, Smart Inverter, Direct Cool Single Door Refrigerator (GLD1945ZOSE, Scarlet Euphoria, Base stand with Drawer)"/>
        <s v="IFB 187L 4 Star Advanced Inverter Direct-Cool Single Door Refrigerator with 30 Hrs Cooling Retention, Big Vegetable Box, 4 Year Super Warranty &amp;amp; Base Stand (2026, IFBDC-213DYBPED,Paradise Dream Blue)"/>
        <s v="Samsung 330 L, 3 Star, Convertible 5-in-1, Digital Inverter, Frost Free Double Door, WiFi Bespoke AI Refrigerator (RT34HG5A23BXHL, Luxe Black, 2026 Model)"/>
        <s v="Samsung 236 L, 3 Star, Convertible, Digital Inverter Frost Free Double Door Refrigerator (RT40H28U3THL, Silver, Refined Inox, 2026 Model)"/>
        <s v="Samsung 189 L, 4 Star, Digital Inverter, Direct-Cool Single Door Refrigerator (RR21H2G24S8/HL, Silver, Elegant Inox, Single Touch Defrost, 2026 Model)"/>
        <s v="IFB 197L 5 Star Advanced Inverter Direct-Cool Single Door Refrigerator with 30 Hrs Cooling Retention, XL Bottle Bin, Big Vegetable Box &amp;amp; 4 Year Super Warranty (2026, IFBDC-223EYBSE, Brush Grey)"/>
        <s v="Godrej 223L 2 Star 5 Years Comprehensive New Launch | 95%+ Food Surface Disinfection Uniform 360Â° Cooling Inverter Frost Free Double Door Refrigerator (RF EON 244BN RI STEEL GLOW Steel Glow)"/>
        <s v="LG 43 L 3 Star Direct Cool Minibar Single Door Refrigerator (GLD0536VRSW, Super White)"/>
        <s v="LG 185 L, 5 Star, Smart Inverter, Direct Cool Single Door Refrigerator (GLD1956ZAPI, Purple Ilan, Fit Max Chiller Tray, Base stand with Drawer &amp;amp; Runs on Home Inverter)"/>
        <s v="Haier 240 L 2 Star Frost Free Twin Inverter Double Door Refrigerator with Cool Pad for Extended Freezer Cooling &amp;amp; Spacious Fresh Zone (HEF-252EGSA-P, Moon Silver, 2026 Model)"/>
        <s v="Samsung 189 L, 5 Star, Digital Inverter, Direct-Cool Single Door Refrigerator (RR21H2H25UZ/HL, Midnight Blossom Blue, Base Stand Drawer, Single Touch Defrost, 2026 Model)"/>
        <s v="LG 251 L, 1 Star, Frost-Free Smart Inverter Double Door Refrigerator with Smart Mode (GLT2516WWPZ, Shiny Steel, Multi Air Flow Cooling with Max Fresh Zone, 2026 Model)"/>
        <s v="Godrej 185 L 5 Star 5 Years Comprehensive Warrant |Turbo Cooling Technology| Toughened Glass Shelves | Direct Cool Single Door Refrigerator (2026 Model, RD 195EN TAI MY WN, Mystic Wine)"/>
        <s v="TOSHIBA 650 L Frost Free Inverter 4-Door Refrigerator (GR-RF646WE-PGI, Classy Blue Glass Door Finish, Futuristic Plasma + Pure Technology) (GR-RF646WE-PGI(24))"/>
        <s v="Midea 560 L Side by Side Refrigerator, Inverter Compressor, Multi Air Flow Cooling, Water Dispenser (Frost Free, Energy Efficient, Large Capacity, Bru-Steel Finish)"/>
        <s v="Godrej 185 L 4 Star Single Door Refrigerator with Turbo Cooling Technology, Toughened Glass Shelves &amp;amp; 5 Years Warranty (RD 195DN TAI MY BL, Mystic Blue)"/>
        <s v="Samsung 223 L, 3 Star, Digital Inverter, Direct-Cool Single Door Refrigerator (RR24H2823UZ/NL, Midnight Blossom Blue, Base Stand Drawer, Single Touch Defrost, 2026 Model)"/>
        <s v="Samsung 396 L, 3 Star, Convertible 5-in-1, Digital Inverter, Frost Free Double Door, Bespoke AI WiFi Enabled Refrigerator (RT41DG6A4DB1HL, Black Matte/Black DOI)"/>
        <s v="SHARP 50L 2 Star Mini Direct Cool Single Door Refrigerator |Japan 7 Shield Protection|Toughened Glass shelves (Metal Silver, SJ-MRW055N3-PSS)"/>
        <s v="Samsung 301 L, 2 Star, Convertible 5-in-1 Digital Inverter with Display Frost Free Double Door Refrigerator (RT31H4522S9/HL, Silver, Refined Inox, 2026 Model)"/>
        <s v="LG 276 L, 2 Star, Smart Inverter, Smart &amp;amp; Dairy Mode, Frost-Free Double Door Convertible Refrigerator (GLT2826XWOB, Onyx Black, Multi Air Flow, Fresh Zone &amp;amp; Deodorizer, 2026 Model)"/>
        <s v="Samsung 550 L, Convertible, Digital Inverter, Frost Free French Door Refrigerator (RF57A5032S9/TL, Silver, Refined Inox)"/>
        <s v="Godrej 223 L 3 Star 5 Years Comprehensive New Launch Convertible Freezer 6-In-1, 30 Days Farm Freshness, Inverter Double Door Refrigerator (2026 Model, RF EON 244CN RCIF ST RH, Steel Rush)"/>
        <s v="Haier 325 L 2 Star Frost Free Triple Inverter Double Door Bottom Mount Refrigerator, Digital Touch Display &amp;amp; 2X Bigger Fresh Storage (HEB-332GBA-P, GE Black, 14 In 1 Convertible Modes, 2026 Model)"/>
        <s v="Midea 233 L 2 Star Frost Free Convertible, Real Inverter Double Door Refrigerator (MDRT359FGI50, Crystal Silver)"/>
        <s v="LG 322 L, 2 Star, Convertible, Smart Inverter, Frost Free Double Door Refrigerator (GLT3226SNDS, Dazzle Steel, Express Freeze &amp;amp; Multi Air Flow)"/>
        <s v="Samsung 550 L Inverter Frost-Free French Door Refrigerator (RF57A5032B1/TL, Black DOI, Convertible), Real Stainless, Convertible"/>
        <s v="VW 7.5 kg 5 Star Aqua Spin Semi Automatic Top Load Washing Machine AquaSpin0075P (Black)"/>
        <s v="Haier 6 kg 5 Star Oceanus Wave Drum Washing Machine Fully Automatic Top Load (HWM60-AE, Moonlight Silver)"/>
        <s v="Midea 7 Kg 5 Star Fully Automatic Front Load Washing Machine with Inverter Motor, Self Clean Drum Technology, 15 Wash Programs (MFG17W70B/T-IND, Titanium Grey)"/>
        <s v="Whirlpool 7 kg Magic Clean 5 Star Fully Automatic Top Load Washing Machine Grey (MAGIC CLEAN 7.0 GENX GREY 5YMW)"/>
        <s v="LG 7 Kg 5 Star Wind Jet Dry Semi-Automatic Top Loading Washing Machine (P7020NGAZ, Dark Gray, Rat Away Feature)"/>
        <s v="Samsung 6.5 kg, 5 star, Semi-Automatic Top Load Washing Machine (WT65R2200LL/TL, Air Turbo Drying, LIGHT GRAY, 5 Year Warranty on Wash Motor)"/>
        <s v="Voltas Beko, A Tata Product 6.5 Kg 5 Star Semi-Automatic Top Loading Washing Machine (WTT65UNX/OK3I0I0W01, Blue, Pulsator wash technology)"/>
        <s v="Midea 7.5 Kg 5 Star Fully Automatic Top Load Washing Machine, Spiral Stream Tub, Dual Waterfall, 6 Petal Pulsator, Magic Filter (MWMTL075FP0PNMB, Auto Restart, Mid Black)"/>
        <s v="Samsung 7 kg, 5 Star, Eco Bubble Technology, Digital Inverter Motor, Soft Closing Door, Fully-Automatic Top Load Washing Machine (WA70BG4441YYTL, Lavender Gray)"/>
        <s v="Whirlpool 7.5 Kg 5 Star StainWash Magic Clean PRO Fully Automatic Top Load Washing Machine (MAGIC CLEAN PRO SW 7.5 (H) GREY 10YMW with In-Built Heater)"/>
        <s v="LG 8.5 kg 5 Star Semi-Automatic Top Load Washing Machine (P8530SRAZ, Burgundy, Roller Jet Pulsator)"/>
        <s v="Haier 7 Kg 5 Star Semi Automatic Top Load Washing Machine with Anti Bacterial Cross Pulsator and Spray Function (HTW70-1187BTN, Anti Rat Mesh, Magic Filter, Castors, Burgundy)"/>
        <s v="LG 7 Kg 5 Star Smart Inverter Technology Fully Automatic Top Load Washing Machine (T70VBMB1Z, Auto Prewash, Turbodrum, Stainless Steel drum, LED Display, Smart Diagnosis Middle Black)"/>
        <s v="Samsung 8 Kg, 5 Star, Hygiene Steam, Ecobubble, Quick Wash, Soft Closing Door, Digital Inverter, Fully-Automatic Top Load Washing Machine (WA40F08H2CTL, In-Built Heater, Stainwash, Deep Charcoal)"/>
        <s v="Samsung 7 kg, 5 star, Semi Automatic Top Load Washing Machine (WT70M3000UU/TL, Air Turbo Drying, LIGHT GRAY, 5 Year Warranty on Wash Motor)"/>
        <s v="Samsung Smart Choice 8 kg, 5 star, Eco Bubble Tech, Digital Inverter Motor, Soft Closing Door, Fully-Automatic Top Load Washing Machine (WA80BG4441BGTL, Light Gray)"/>
        <s v="IFB 8 Kg 5 Star with Deep CleanÂ® Technology, AI Powered, Fully Automatic Top Load Washing Machine (TL801MG1, ActivMix, Aqua Energie, Med Grey)"/>
        <s v="LG Smart Choice, 7 Kg, 5 Star, Steam, Inverter Direct Drive Technology, 6 Motion DD, Fully-Automatic Front Load Washing Machine (FHB1207Z2W, Remove Allergens &amp;amp; Stain, In-Built Heater, Essence White)"/>
        <s v="Ionstar 7.5 Kg Semi Automatic Washing Machine - 5 Star Rated - 2025 - Top Load - Jet Pulsator - Magic Filter - Special Air Dryer - Buzzer - Wheels - Powerful Copper Motor - 1500 RPM (STAR75-AQUA-G)"/>
        <s v="Whirlpool 7.0 Kg 5 Star MAGIC CLEAN Semi-Automatic Top Loading Washing Machine (MAGIC CLEAN RYL SRS 7.0 GREY DAZZLE (5YR), 4 Year Comprehensive Warranty, 1400 RPM Motor, 5 Year Motor Warranty)"/>
        <s v="VW V8 TurboWash 8 Kg 5 Star Fully-Automatic Top Loading Washing Machine (Grey)"/>
        <s v="Bosch 7 kg 5 Star Fully Automatic Top Loading Washing Machine (WOE70AH0IN, PowerWave Wash &amp;amp; in-built Dual Lint Filter, Stainless Steel VarioDrum with 5 fin Pulsator, Water Save, Eco Wash, Med Grey)"/>
        <s v="LG Smart Choice, 9 Kg, 5 Star, AI Direct Drive Technology, Steam, 6 Motion DD &amp;amp; Wi-Fi Fully-Automatic Front Load Washing Machine (FHP1209Z5M, Intelligent &amp;amp; Convenient Fabric Care, Middle Black)"/>
        <s v="Voltas Beko, A Tata Product 6.5 Kg 5 Star Fully-Automatic Top Loading Washing Machine (WTL6504UEA/OBS2P10 Eco-Series,Dark Grey, Pulsator wash and Double waterfall technology)"/>
        <s v="Bosch 8 kg 5 Star Front Load Fully-Automatic Washing Machine, AI ActiveWater, 15 Wash Programs, Removes 99.9% Germs with Steam, No Tangle or Wrinkle,White, WAJ28260IN"/>
        <s v="Voltas Beko, Top Load 7 Kg 5 Star Eco Wash/Monsoon Dry Fully-Automatic Washing Machine (WTL70, Water Reuse, Side Waterfall, Mansoon Dry, Dark Grey)"/>
        <s v="Godrej Smart Choice 7 Kg 5 Star, 5 Years Comprehensive Warranty, AI Tech, Fills Tub At ~0 Water Pressure, Fully-Automatic Top Load Washing Machine (WTEON ALP 70 5.0 FDUN GPGR, Graphite Grey)"/>
        <s v="Voltas Beko, A Tata Product 11 Kg 5 Star Fully-Automatic Top Loading Washing Machine (WTL1106UEA / OBS1060, Grey, Double Waterfall Technology)"/>
        <s v="Samsung 8 Kg, 5 Star, AI Wash, AI Energy Mode, Wi-Fi, Ecobubble, AI VRT+, Super Speed, Soft Closing Door, Digital Inverter, Fully-Automatic Top Load Washing Machine (WA80F08S2LTL, Lavender Gray)"/>
        <s v="Whirlpool 6.5 Kg 5 Star Magic Clean Semi-Automatic Top Loading Washing Machine (MAGIC CLEAN 6.5 GREY, 4 Year Comprehensive Warranty, 1400 RPM Motor, 5 Year Motor Warranty)"/>
        <s v="Bosch 8 kg 5 Star Fully Automatic Top Loading Washing Machine (WOE80AH0IN, PowerWave Wash &amp;amp; in-built Dual Lint Filter, Stainless Steel VarioDrum with 5 fin Pulsator, Water Save, Eco Wash, Dark Grey)"/>
        <s v="Voltas Beko, A Tata Product 9 Kg 5 Star Semi-Automatic Top Loading Washing Machine (WTT90UHA/OK5B1B1S23, Black, Pulsator Wash Method and Double waterfall technology)"/>
        <s v="Voltas Beko, A Tata Product 8 kg 5 Star Fully-Automatic Top Loading Washing Machine (WTL8006UEA / OBS1060, Grey, Double Waterfall Technology)"/>
        <s v="IFB 7 Kg 5 Star, DeepCleanÂ® Technology, AI Powered, WiFi, Fully Automatic Front Load Washing Machine (SERENA SXN 7012 CMS, PowerSteamÂ®, 9 Swirl, Steam Refresh, Inbuilt Heater, Eco Inverter,Rich Silver)"/>
        <s v="VW 8 kg 5 Star Super Wash Semi Automatic Top Load Washing Machine SuperWash0080P (White &amp;amp; Burgundy)"/>
        <s v="Samsung 9 kg, 5 star, AI EcoBubble, Super Speed, Wi-Fi, Hygiene Steam with Inbuilt Heater, Digital Inverter, Fully-Automatic Front Load Washing Machine (WW90DG5U24AXTL, Inox)"/>
        <s v="IFB 9 Kg 5 Star, DeepCleanÂ® Technology, AI Powered, WiFi, Fully Automatic Front Load Washing Machine (EXECUTIVE MXN 9014K CMS, PowerSteamÂ®, 9 Swirl, Steam Refresh, Inbuilt Heater, Eco Inverter, Mocha)"/>
        <s v="Samsung 7.5 Kg Inverter 5 Star Semi Automatic Top Load Washing Machine (WT75B3200RR/TL, Light Grey &amp;amp; Red Base, Air turbo drying, 5 Year Warranty on Wash Motor)"/>
        <s v="IFB 6.5 Kg 5 Star, DeepCleanÂ® Technology, AI Powered, Fully Automatic Front Load Washing Machine (ELENA GXN 6510, PowerSteamÂ®, 9 Swirl, Steam Refresh, Inbuilt Heater, Eco Inverter, Grey)"/>
        <s v="Samsung Smart Choice 10 Kg, 5 Star, AI Wash, AI Energy Mode, Wi-Fi, Ecobubble, AI VRT+, Soft Closing Door, Digital Inverter, Fully-Automatic Top Load Washing Machine (WA80F10E2LTL, Lavender Gray)"/>
        <s v="Whirlpool 8 kg Magic Clean 5 Star Fully Automatic Top Load Washing Machine Grey (MAGIC CLEAN ELT 8.0 GREY 10YMW, Hard Water Wash)"/>
        <s v="Godrej 7 Kg 5 Star, AI Powered, FabriSafe Drum, 65% Water Saving, Fully Automatic Front Load Washing Machine (WFEON CRS 7010 5.0 FKEDM GLWH, Glacial White)"/>
        <s v="LG 11 Kg 5 Star Wind Jet Dry Rat Away Technology Semi-Automatic Top Loading Washing Machine (P1155SKAZ, Roller Jet Pulsator, Punch + 3, Middle Black)"/>
        <s v="Samsung 10.5 kg, 5 star, Semi-Automatic Top Load Washing Machine (WT10C4260GG/TL, Air Turbo Drying, Light Gray,)"/>
        <s v="Haier 7 Kg, Oceanus Wave Drum, 15 Min Quick Wash, Magic Filter, 8 Wash Programs, Fully Automatic Top Load Washing Machine (HWM70-AE | Moonlight Silver)"/>
        <s v="Samsung 9.5 Kg, 5 Star, Semi-Automatic Top Load Washing Machine (WT95A4260GD/TL, Air Turbo Drying, Dark Gray, 5 Year Warranty on Wash Motor)"/>
        <s v="IFB 9Kg 5 Star with Deep Clean Oxyjet Technology, AI Powered, Wi-Fi, Fully Automatic Front Load Washing Machine (EXECUTIVE MSC 9014 SSL, Steam Refresh Program with Eco Inverter, Metallic Silver)"/>
        <s v="Whirlpool 10 Kg 5 Star MAGIC CLEAN BW PRO Heater Fully Automatic Top Load Washing Machine (MAGIC CLEAN BW PRO H 10 KG Mn GREY 10YMW with In-Built Heater, 2025)"/>
        <s v="Godrej 1.5 Ton 3 Star Inverter Split AC with 5-in-1 Convertible Cooling| 5 Year Comprehensive Warranty| AI Powered| Heavy Duty Cooling at 52Â°C| Self Clean Technology (AC 1.5T EC HIC 18Q3TH WA)"/>
        <s v="Cruise 1 Ton 3 Star, New Star rated, Inverter Split AC with 7-Stage Air Filtration (Copper, Convertible 4-in-1, Fast Cooling at 48 Â°C, PM 2.5 Filter, Anti-Rust Tech, CWCVBM-VQ1D123,White)"/>
        <s v="Godrej 1.5 Ton 3 Star Inverter Split Smart AC (2026 Model, HIC 18Z3TG VA IOT4, Copper Condenser, 4-Way Swing, Wi-Fi Voice &amp;amp; App Control, i-Sense Technology, White)"/>
        <s v="Cruise 1.5 Ton 3 Star,New Star rated, Inverter Split AC with 7-Stage Air Filtration (Copper, Convertible 4-in-1, Fast Cooling, PM 2.5 Filter, Anti-Rust Tech, New BEE Rated, CWCVBM-VQ3D173, White)"/>
        <s v="Voltas 183V Vectra CAW 1.5 ton 3 star,New star rated, inverter Split AC|4-IN-1 Adjustable mode|High ambient Cooling-cools even at 52Â°C|Anti dust filter with Anti-microbial coating|Copper Coil| White"/>
        <s v="Whirlpool 1.5 Ton 3 Star, New star rated, Magicool Inverter Split AC (MAGICOOL 15T 3S INV CNV S6K2PP0, Copper, Convertible 4-in-1 Cooling Mode, HD Filter White)"/>
        <s v="IFB 1 Ton 3 Star,New star rated, AI Powered Inverter Split AC,Hybrid Mode, 8in1 Flexi Mode, Heavy Duty Compressor, Long Air Throw, Self Clean, Dual Gold Fins, 100% Copper, CI133SL11RGM3, white"/>
        <s v="Blue Star 1 Ton 3 Star,Inverter Split AC (Copper, Convertible 5 in 1 Cooling, DigiQ Hepta Sensor,Blue Fins, Self Diagnosis, IE312PNU, White)"/>
        <s v="IFB 1.5 Ton 5Star,New star rated,AI Powered Inverter Split Air Conditioner with Inbuilt WiFi,Hybrid Mode, 8in1 Flexi Mode,Heavy Duty Compressor,Self Clean,100% Copper Tubes,CI195SS32SGM3, White"/>
        <s v="Lloyd 1 Ton 3 Star Inverter Split AC (5 in 1 Convertible, Cools Up To 52Â°C, Smart 4 Way Air Swing, Turbo Cool, Installation Check, 100% Copper, White with Silver Deco Strip, GLS12I3FWSEA)"/>
        <s v="GENERAL 1 Ton BEE 2026 3 Star Rated, Inverter Split AC (Copper, 3580W, Powerful Cooling, 10m Long Reach Airflow, 55Â°C Max, Suitable for 120~150 Sft, ASGG12CPWA-B, White, Free Standard Installation)"/>
        <s v="Hitachi 1.5 Ton 3 Star Xpandable+ Inverter Split AC (100% Copper, 4-Way Swing, ice Clean, Dust Filter, 3400SXL RAS.D318PCCIBS, White)"/>
        <s v="IFB 1.5 Ton 3 Star, New star rated,AI Powered Inverter Split AC,Inbuilt WiFi, Hybrid Mode, 8-in-1 Flexi Mode, Heavy Duty Compressor, Long Air Throw, Self Clean, 100% Copper,CI183SS22SGM3, White"/>
        <s v="Hitachi 1 Ton 5 Star, New Star rated, Inverter Split AC (Copper, Smart View Display, ice Clean, 4 Way Swing, Anti-Bacterial Filter,RAS.V512PCDIBT, White)"/>
        <s v="Voltas 1.5 ton 5 Star Inverter Window AC (Copper, 2-in-1 Cooling Modes, Anti-Dust Filter, 2-Way Swing, Memory Restart, Sleep Mode (185INV ELITE, White)"/>
        <s v="LG 1.5 Ton 5 Star,New star rated, Smart Inverter Split AC (Copper, AI Convertible 6in1,VIRAAT Mode, Faster Cooling &amp;amp; Energy Saving, 4 Way Swing, HD Filter, AS-Q19YNZE1,White)"/>
        <s v="Godrej 1 Ton 5 Star, New Star rated, 5 Years Comprehensive Warranty, AI Powered, 5in1 Convertible Cooling, Inverter Split AC (Copper,Heavy-Duty Cooling at 52Â° C, AC 1.0T EC HIC 12J5TG WA,White)"/>
        <s v="Voltas 1 ton 3 Star Split AC|Auto Clean|Sleep mode (123INV VECTRA EMERALD)"/>
        <s v="VELURA Ductless Mini Split Air Conditioner with Remote for Apartment Office Bedroom|1 Mini Split Air Conditioner Home &amp;amp; Garden"/>
        <s v="Godrej 1.5 Ton 3 Star, New star rated,5 Years Comprehensive Warranty,AI Powered, 5 in1 Convertible Cooling, Inverter Split AC (Copper, Heavy Duty Cooling at 52Â°C, AC 1.5T SIC 18NTC3 WZE 3S,White)"/>
        <s v="Cruise 1.5 Ton 5 Star, New star rated, Black Inverter Split AC (Copper, Convertible 4-in-1, 4-Way Swing, Cooling at 55 Â°C, PM 2.5 Filter, Energy Saving, Anti-Rust Tech, CWCVBM-VP3F185BL, Piano Black)"/>
        <s v="Daikin 1.5 Ton 3 Star Inverter Split AC (Copper, PM 2.5 Filter, Triple Display, Dew Clean Technology, Coanda Airflow, 2024 Model, MTKL50U, White)"/>
        <s v="Voltas 1 ton 2 Star Fixed Speed Window AC (Copper, Anti Dust Filter, 2-Way Air Swing, Memory Restart, Sleep Mode (122FS PLATINA, White)"/>
        <s v="Ductless Mini Split Air Conditioner with Remote for Apartment Office Bedroom"/>
        <s v="LG 1 Ton 4 Star,New star rated,DUAL Inverter Split AC (Copper, AI Convertible 6-in-1 with VIRAAT Mode,Faster Cooling &amp;amp; Energy Saving, 4 Way Swing, HD Filter with AntiVirus Protection,AS-Q13JNYE,White)"/>
        <s v="Acerpure Chill Inverter Split Air Conditioner 1 ton 3 star, 4 in 1 convertible design, Anti-virus Filter, Blue Fin Technology Air Conditioner (White)"/>
        <s v="Ecozen Smart Air Conditioner - 1.5 Ton Inverter AC with Intelligent Cooling and Smartphone App Control (Classic) - IDU-WSAC18310XE52VMA, ODU-WSAC18310XE52VMA"/>
        <s v="Whirlpool 1.5 Ton 3 Star, Magicool Inverter Split AC (MAGICOOL 15T 3S INV CNV S5K2PP0, Copper, Convertible 4-in-1 Cooling Mode, HD Filter White)"/>
        <s v="Blue Star 1.5 Ton 5 Star,New Star Rated, Wi-Fi Smart Inverter Split AC (Copper,4-Way Swing, DigiQ Hepta Sensor, Blue Fins,Turbo Cool, Self Clean Technology (IA518ZXUS, White))"/>
        <s v="Sharp 1 Ton 3 star, New Star Rated,Split AC (4 Way Swing, 100% copper, Hi-Tech Inverter Compressor, 7in1 Convertible, Turbo cool, Dust filter) - AH-SI12V3B-GCN, White"/>
        <s v="Samsung 1 Ton 3 Star,New Star rated Bespoke AI Inverter Smart Split AC (WiFi, Energy Saving, Voice Control, Powerful Cooling, Copper, Digital Inverter, 4 Way swing, white, AR50H12D1LHNNA)"/>
        <s v="Godrej 1 Ton 3 Star,New star rated,5 Years Comprehensive Warranty,AI Powered, 5-In-1 Convertible Cooling, Inverter Split AC (Copper,Model,Heavy duty cooling at 52 Â°C, AC1T EI 12PINV3R32 WYQ 3S,White)"/>
        <s v="Daikin 1.0 Ton 3 Star, New Star rated, Inverter Split AC (Copper, PM2.5 Filter, MTKL35XV16, White)"/>
        <s v="Whirlpool 1.5 Ton 5 Star, Magicool Inverter Split AC (MAGICOOL 15T 5S INV CNV S5K2PP0, Copper, Convertible 4-in-1 Cooling Mode, HD Filter White)"/>
        <s v="Panasonic 1.5 Ton 5 Star, New star rated,Inverter Premium Window AC (Top Throw Airflow, 50Â°C Oper., Copper Cond., 8in1 Convertible, 4-Way, PM0.1 Filter, ECO Mode, Powerful Mode, CW-XU185CGT, White)"/>
        <s v="Voltas 185V Vectra CAR 1.5 ton 5 star,New star rated, inverter Split AC|4-IN-1 Adjustable modeHigh ambient Cooling-cools even at 52Â°C|Anti dust filter with Anti-microbial coating|Copper Coil|White"/>
        <s v="Hitachi 1.5 Ton 3 Star Hot &amp;amp; Cold Inverter Split AC with Expandable Technology (100% Copper, Dust Filter, 3100HP RSQG318HGXA, White)"/>
        <s v="Carrier 1.5 Ton 5 Star, New Star rated, Flexicool Inverter Split AC (Copper, Convertible 6-in-1 with Smart Energy Display, Insta Cool, Auto Clean and PM 2.5 Filter, ESTER EDGE Gxi-CAI18EE5R36F0, White)"/>
        <s v="Panasonic 2.0 Ton 4 Star New Star rated Premium WiFi Inverter Smart Split AC (DustBuster Tech,Matter Enabled,AI,Higher Airflow, Copper Cond., 8in1 Convertible,4-Way,PM0.1 Filter,CS/CU-NU24BKY4W,White)"/>
        <s v="Hitachi 1.5 Ton 5 Star, New star rated, Inverter Split AC (Copper,Wi-Fi, 4 Way Swing, Hybrid Convertible, ice Clean cooling, Anti-bacterial Mesh Filter,RAS.V518PCDIBM1, White)"/>
        <s v="Samsung 1.5Ton 5Star,New Star rated, Bespoke AI Inverter Smart Split AC (Wifi, Energy Saving, Voice Control, Powerful Cooling, Copper, Digital Inverter, 4 Way swing, White,AR50H18D1NHNNA)"/>
        <s v="IFB 1.5Ton 5Star,New star rated,AI Powered Inverter Split Air Conditioner,Hybrid Mode, 8in1 Flexi Mode,Heavy Duty Compressor,Self Clean, Dual Gold Fins,100% Copper Tubes,CI195GD32RGM3, white"/>
        <s v="Carrier 2 T 5Star,New Star rated,Wi-Fi Smart Flexicool Inverter Split AC(Copper,Convertible6-in-1withWi-Fi with Geo-Fencing,Smart EnergyDisplay,New star Rating,ESTER EDGE Gxi WiFi-CAI24EE5R36W1,White)"/>
        <s v="Hitachi 1.5 Ton 5 Star, New star rated, Xpandable+ Inverter Split AC (100% Copper, Smart Display, 4-Way Swing, ice Clean, Dust Filter, 5400STXL RAS.G518PCCIBT, White)"/>
        <s v="Samsung 1.5 Ton 3 Star,New Star rated, Bespoke AI Inverter Smart Split AC (WiFi, Energy Saving,Voice Control,Powerful Cooling,Copper, Digital Inverter, 4 Way swing, White, AR50H18D13HNNA)"/>
        <s v="Blue Star 2 Ton 3 Star, New Star Rated, Smart Inverter Split AC (Copper,4-Way Swing, DigiQ Hepta Sensor, Blue Fins,Turbo Cool, Self Clean Technology (IA322DXU, White)"/>
        <s v="Lloyd 1.5 Ton 5 Star Inverter Split AC, 2026 New Star Rated (6 in 1 Convertible, Cools Up To 54Â°C, DG Mode, Ice Clean, Smart 4 Way Swing, Turbo Cool, Installation Check, White, GLS18I5AGGGW)"/>
        <s v="LG 1 Ton 5 Star, New star rated, Smart Inverter Split AC (Copper, AI Convertible 6-in-1 Cooling, Faster Cooling &amp;amp; Energy Saving, HD Filter with Anti-Virus Protection, Him Clean, AS-Q14YNZE, White)"/>
        <s v="SWANKK WiFi Mini Hidden Spy Camera, 1080P HD, Night Vision, Motion Detection, Wireless Indoor Nanny Cam with Remote Viewing"/>
        <s v="Toy Imagine Kids Digital Camera Toy 3.0MP 1080P Video Camera with 2-Inch Screen &amp;amp; 32GB Capacity USB Rechargeable with Games,Filters,Time-Lapse Educational Birthday Gift for Boys &amp;amp; Girls Age 3â€“12(Blue)"/>
        <s v="Cason 48MP Digital Camera for Kids &amp;amp; Adults -Real Photo &amp;amp; Video Mini Camera for Photography 2.4â€ Rotating Screen, Built in Games Kids Cameras for 5-15 Years Girls &amp;amp; Boys with 8 GB Sd Card (Pink)"/>
        <s v="TECHNOVIEW Full HD Wi-Fi Wireless Security Camera 1080p Audio Video Live View Low Light Vision Motion Detection Video Recorder for Home Office. (IP Camera)"/>
        <s v="Storio Kids Digital Camera Toy 3.0MP 1080P HD Video Camera with 2-Inch Screen | USB Rechargeable Mini Camera | Educational Toy &amp;amp; Birthday Gift for Boys &amp;amp; Girls Age 3â€“12 | Supports 32GB SD Card - Blue"/>
        <s v="CP PLUS 2MP Full HD Wi-Fi CCTV Camera for Home with Motion Tracking | Smart Detection Suite | Night Vision | Cloud Recording | View &amp;amp; Talk | Supports OK Google | CTC Cyber Secure | CP-E25Q"/>
        <s v="Codnida Spy Camera Pen HD Video Recording with Audio | Hidden Recording Pen for Meetings &amp;amp; Security | Portable Pen Camera with Long Battery Life | Discreet Spy Pen Camera for Indoor &amp;amp; Outdoor Use"/>
        <s v="CP PLUS 3MP Resolution Smart Wi-fi CCTV Home Security Camera | 360Â° View | Motion Tracking | 2-Way Talk | Cloud &amp;amp; SD Card Support | CTC Cyber Secure Tech | 15M Night Vision | CP-E31Q"/>
        <s v="Dr Vision 5MP Indoor WiFi Smart CCTV Camera for Home | 1080p HD | Color Night Vision | Motion Detection | Two Way Audio | Wireless Home Security Camera with Mobile App V380 Pro (CV Dual Lens)"/>
        <s v="Qubo Smart Cam 360Â° 3MP [2026 Edition] by Hero Group | STQC Certified | AI Person Detection | Intruder Alarm | Color Night Vision | Two-Way Talk | Records Directly on Cloud | No SD Card Required"/>
        <s v="Kids Digital Camera | 1080p Video &amp;amp; 3.0MP Photos | 2-Inch Screen, USB Rechargeable &amp;amp; Portable | Fun Mini Toy Camera for Boys &amp;amp; Girls Age 3â€“10 | Educational Birthday Gift"/>
        <s v="CP Plus 2.4MP IR Wired Bullet Outdoor Camera CP-URC-TC24PL3 Compatible with DVR only | 3.6mm Lens | 30 Meter Black &amp;amp; White Night Vision | IP67 | Analog HD CCTV Camera, White"/>
        <s v="DDLC 5MP Indoor WiFi Smart CCTV Camera for Home | 1080p HD | Color Night Vision | Motion Detection | Two Way Audio | Wireless Home Security Camera with Mobile App V380 Pro (Upro Dual Lens)"/>
        <s v="Canon EOS R100 24.1 MP Mirrorless Camera (Black) with RF-S18-45mm f/4.5-6.3 is STM Optical Zoom Lens | 4k Video"/>
        <s v="DJI Osmo Action 4 Standard Combo - 4K/120Fps Waterproof Action Digital Camera with A 1/1.3-Inch Sensor, 10-Bit &amp;amp; D-Log M Color Performance, Outdoor Digital Camera for Travel, Biking"/>
        <s v="CADDLE &amp;amp; TOES Kids Camera for Girls Boys,Kids Selfie Camera 13MP 1080P HD Digital Video Camera for Toddler,Christmas Birthday Gifts for 4+ to15 Years Old Children (Pink)"/>
        <s v="CP PLUS 2.4MP Full HD IP Indoor Wired Dome Camera CP-URC-DC24PL3 Compatible with DVR only | 30 Meters IR Black &amp;amp; White Night Vision | 3.6mm Lens | Motion Detection, White"/>
        <s v="CP PLUS 4MP Quad HD Smart Wi-Fi CCTV Camera | 360Â° Pan &amp;amp; Tilt | Press to Call | CTC Cyber Secure Tech | Smart Detection Suite | View &amp;amp; Talk | IR Night Vision | Cloud Recording | OK Google | CP-E44Q"/>
        <s v="Sony Alpha ZV-E10K (Previously ZV-E10L) with Upgraded SELP1650 (Ver 2) Power Zoom Lens | 24.2 MP Interchangeable-Lens Mirrorless vlog Camera, Made for Creators |APS-C Sensor 4K Movie Recording-Black"/>
        <s v="CP PLUS 3MP Smart Wi-Fi CCTV Camera | 360Â° Pan &amp;amp; Tilt | CTC Cyber Secure Tech | View &amp;amp; Talk | Smart Detection Suite | Night Vision | Cloud Storage | Supports OK Google | CP-E35Q"/>
        <s v="Toy Imagine Kids Digital Camera 1080p Video &amp;amp; 5.0MP Photos 2-Inch Screen, USB Rechargeable &amp;amp; Portable Fun Mini Toy Camera for Boys &amp;amp; Girls Age 3â€“10 Educational Birthday Gift(Blue)SD Card Not Included"/>
        <s v="WiFi Camera 360Â° Security Camera for Home Outdoor High HD Magnet Mini Spy WiFi Magnetic Live Stream Night Vision IP Wireless 1080P Audio Video Hidden CCTV Magne"/>
        <s v="Qubo Smart 360Â° 3MP [2K] Wi-Fi Security Camera [2026 Edition] by Hero Group | Indoor CCTV Cam for Home | STQC Certified | AI Person Detection | Color Night Vision | SD&amp;amp;Cloud Storage (Pack of 2)"/>
        <s v="insta360 X3 Action Camera, 1/2&amp;quot; Sensor, 5.7K 360 Capture, Optical Zoom 3X, 72 MP 360 Photo, 4K Single Lens Mode, Black"/>
        <s v="DJI Osmo Action 5 Pro Standard Combo, Waterproof Camera with 1/1.3&amp;quot; Sensor, 4K/120fps Video, Subject Tracking, Stabilization, Dual OLED Touchscreens, Action Camera 4K Ideal for Sports, Vlog"/>
        <s v="Maizic Smarthome Dual Lens Mini Fox | 5+5MP WiFi CCTV Camera with PTZ &amp;amp; Fixed View | AI Motion Detection, Color Night Vision, Two-Way Audio, 360ï¿½ Coverage, App Remote Access"/>
        <s v="DDLC 5MP Indoor WiFi Smart CCTV Camera for Home | 360Â° Pan Tilt | Color Night Vision | Motion Detection | Two Way Audio | Wireless Home Security Camera with Mobile App V380 Pro (Upro Dual Lens)"/>
        <s v="1080P Body Camera Pen [Upgraded 2026] â€“ Body Cam with HD Video or Picture Taking, SD Card Storage, and Manual Control for Privacy Compliance"/>
        <s v="Qubo Smart 360Â° 3MP [2K] CCTV Camera | Wi-Fi Indoor Home Security Cam | STQC Certified | AI Person Detection | Automatic Alarm | App Alerts | NightPulse Vision | SD &amp;amp; Cloud Storage | Made in India"/>
        <s v="Sony New Alpha ILCE-6100X (Previously ILCE-6100Y) with Upgraded SELP1650 (Ver 2) Power Zoom Lens + SEL55210 Lens | 24.2 MP | APS-C Sensor | Fast Auto Focus | Tiltable LCD â€“ Black"/>
        <s v="DJI Osmo Pocket 3 Creator Combo, Vlogging Camera with 1&amp;#x27;&amp;#x27; CMOS &amp;amp; 4K/120fps Video, 3-Axis Stabilization, Face/Object Tracking, Fast Focusing, Mic Included for Clear Sound, Small Camera for Photography"/>
        <s v="Fujifilm X-M5 26.1MP APS-C X-Trans CMOS 4 with 15-45 f/3.5-5.6 Lens|Retro Style mirrorless Compact Travel Camera|6.2k vlogging|High Speed Recording FHD 240fps|Advance AF for Street/Lifestyle - Silver"/>
        <s v="Waitbird USB Charger Mini Hidden Camera 1080p Full HD Plug &amp;amp; Play Spy Cam | Secret Camera for Home Hidden &amp;amp; Office Use | Mini Spy Camera Works While Charging | Supports 256GB â€“ Security Surveillance"/>
        <s v="KODAK PIXPRO AZ405-BK 20MP Digital Camera 40X Optical Zoom 24mm Wide Angle Lens Optical Image Stabilization 1080P Full HD Video 3&amp;quot; LCD Vlogging Camera (Black)"/>
        <s v="JB Supar 6MP Smart WiFi Dual Lens Outdoor PTZ CCTV Camera | 360Â° View | Full HD | Color Night Vision | Two Way Audio | Wireless Home Security Camera with Mobile App V380 Pro (Dual Lens PTZ)"/>
        <s v="Godrej Security Solutions EVE Pro 3 Indoor Wi-Fi CCTV Camera | New Launch | 3MP Night Vision | 360 View | Human Detection &amp;amp; Motion Tracking | 2-Way Talk | Up to 256GB SD Card Support"/>
        <s v="Leica SL2-S Mirrorless Digital Camera with Vario-Elmarit-SL 24-70 f/2.8 ASPH Lens (Bundle)"/>
        <s v="Kids Instant Print Camera â€“ Mini Digital HD Photo &amp;amp; Video Camcorder with Games | Fun Learning Toy for Boys &amp;amp; Girls Ages 4-18 | Includes 2 Print Rolls â€“ Ideal Gift for Kids (Blue)"/>
        <s v="Sony Alpha ILCE-6400M 24.2MP Mirrorless Digital SLR Camera (Black) with 18-135mm Zoom Lens | APS-C Sensor |Real-Time Eye Auto Focus | 4K Vlogging Camera | Tiltable LCD - Black"/>
        <s v="Sony Alpha ILCE-7RM4A Full-Frame 61.0MP Mirrorless Digital SLR Camera Body (4K Full Frame, Real-Time Eye Auto Focus, Real time Animal Eye AF, Tiltable LCD) - Black"/>
        <s v="DDLC 4+4MP Smart WiFi PTZ CCTV Camera for Home Indoor | 360Â° Pan &amp;amp; Tilt | Color Night Vision | Motion Detection | Two-Way Audio | Wireless Security Camera with Mobile App V380 Pro"/>
        <s v="HIKVISION 2Mp Indoor Wired Color Camera for Dvr Ds-2Ce5Ad0T-Itp Eco Bnc/Dc, White - 1080P"/>
        <s v="Canon EOS R10 24.2MP RF-S18-150 F/3.5-6.3 IS STM Mirrorless Camera (APS-C Sendor, 4K UHD Video) for Wedding &amp;amp; Content Creators - Black"/>
        <s v="Digital Cameras for Photography - 5K 75MP Vlogging Camera for YouTube WiFi - UHD Autofocus Vlog Camera 3&amp;quot; 180Â° Flip Screen with 18X Zoom - Travel YouTube with 32GB SD Card, 2 Batteries (CAM25)"/>
        <s v="Canon EOS R5 C Mirrorless Digital Camera - Black - Kit with RF24-70mm F2.8 L IS USM Lens"/>
        <s v="Canon EOS R1 24.2 MP Full-Frame Mirrorless Camera Body Only (6K RAW &amp;amp; 4K 120p Video) - Black"/>
        <s v="DDLC 4MP Wireless PTZ Security Camera for Home Outdoor | Dual Antenna | 360Â° Pan Tilt | Night Vision | Two-Way Audio | Motion Detection | WiFi CCTV Camera with Mobile App V380 Pro (Mini PTZ)"/>
        <s v="OBSBOT Tiny 2 Lite AI-Powered 4K PTZ Webcam with AI Tracking, 1/2â€³ Sensor, 1080p@60FPS HDR, Gesture Control, Dual Microphones, Auto Focus | Webcam for PC, Laptop, Streaming, Meetings &amp;amp; Video Calls"/>
        <s v="Storio Rechargeable Pocket Video Game for Kids 400 in 1 Retro Game Box Console Handheld Game Box with TV Output - Multicolor"/>
        <s v="POWERNRI 2026 4K Gaming Console for TV | 20000+ Built-in Games | Wireless Dual Gamepads | Plug &amp;amp; Play Games| Family Fun Entertainment"/>
        <s v="500 in 1 Handheld Game Console for Kids | Retro Video Game Player with Rechargeable Battery, TV Output, Portable Pocket Gaming Device with Controller | Classic Arcade Games for Boys &amp;amp; Girls"/>
        <s v="TOYTONIC Rechargeable Pocket Video Game Console for Kids 400-in-1 Retro Handheld Gaming Device with Built-in Classic Games, TV Output Support(Color Assorted)"/>
        <s v="TOYTONIC R36S Retro Emulator Handheld Video Game Console, Built-in 22,000+ Games, 3.5 Inch IPS HD Screen,Up to 6 Hours Play Time,Rechargeable Portable Gaming Device,Gift for Boys &amp;amp; Girls (Assorted)"/>
        <s v="TOYTONIC Handheld Gaming Console for Kids &amp;amp; Adults | 520 Classic Built-in Games | Retro Video Game Player | Portable, Rechargeable, TV Output | Toy &amp;amp; Gift for Boys Girls Ages 6-14 | Mini Game Box"/>
        <s v="2026 New 4K TV Game Con-Sole | Plug &amp;amp; Play R-etro Gaming Console with 2 Wireless Controllers | HDMI Video Game System for Kids &amp;amp; Family | ( Limited Kids Edition 2026 ) (NEW Limited Stock)"/>
        <s v="2026 4K HDMI Gaming Console for TV, Plug and Play Video Game System with 2 Wireless Controllers, Built-in Retro Games, Family Entertainment for Kids &amp;amp; Adults (Special Edition 2026)"/>
        <s v="Wireless Retro Gaming Console for TV | HDMI Game Stick | Plug &amp;amp; Play | Dual Wireless Controllers | Classic Arcade Style Games | Family Gaming | Black"/>
        <s v="2026 New 4K TV Game Con-Sole | Plug &amp;amp; Play R-etro Gaming Console | HDMI Retro Game Stick with Dual Wireless Controllers | Plug &amp;amp; Play Family Entertainment Device (Standard Edition)"/>
        <s v="Domenico Retro Handheld Gaming Console, Video Game for Kids, SUP Game 3 Iinch Display, 400 Games, TV Compatible, Gaming Console for Kids and Adults (Color As Per Availability)"/>
        <s v="EWDGOES R36S Handheld Game Console 3.5 inch Preinstalled Emulator System White 32GB+64GB"/>
        <s v="GS5Pro Retro Gaming Console - Wireless Controller Gamepad- 1080P HD Graphics, 64GB Storage,Video Game TV Stick for All Ages"/>
        <s v="SmartcamÂ® Retro Handheld Gaming Console for Kids &amp;amp; Adults | 520+ Built-in Classic Video Games | Portable Rechargeable Mini Game Player | TV Output | Gift for Boys &amp;amp; Girls Ages 6â€“14"/>
        <s v="TOYTONIC Portable Retro Handheld Game Console for Kids | 3.5&amp;quot; Color Screen Classic Gaming with Preloaded 620 Games | Built-in Power Cell, TV Output | Video Games Player ð‹ð¢ð¦ð¢ð­ðžð ð“ð¨ððšð²"/>
        <s v="R36 Ultra Retro Handheld Game Console-2025 Model with 128GB, 4-Inch IPS Screen, Over 30K Games Mini Video Games Console, Supports 23 Emulators, Linux-Based Retro Gaming Console (White)"/>
        <s v="TOYTONIC Retro Handheld Gaming Console for Kids &amp;amp; Adults â€“ 666-In-1 Built-in Classic Video Games â€“ Rechargeable Game Console for Boys 7-14 Years â€“ TV Output â€“ Portable Toy Gift"/>
        <s v="Toy Imagine Retro Handheld Gaming Console for Kids | Portable Mini Gamepad with Builtin Screen | 520 Classic Games | Perfect Pocket Toy for Boys | Ideal for Ages 6+ | Inspired Fun"/>
        <s v="NextTech UHD Retro Handheld Game Console | Built-in Classic Games | Mini Portable Video Game Player for Kids &amp;amp; Adults | Plug &amp;amp; Play Gaming Device | Random Color"/>
        <s v="Cubonic Rediscover Gaming Magic VividGo Mi7 â€“ Sleek Handheld Console, Huge 20k+ Game Library &amp;amp; Immersive HD Screen LED Display, 23+ Emulators, 64GB Storage, Rechargeable Battery (4.3, Inches)"/>
        <s v="SNAPTRON Handheld Gaming Console for Kids &amp;amp; Adults| G7 Retro Game Console| 666-In-1 Built-in Classic Video Games| Portable Gaming Console| Rechargeable Game Console for Boys 7-14 Years| Retro Game Box"/>
        <s v="DOMENICO Wireless video games for tv gaming Retro gaming console with Game Stick Plug &amp;amp; Play TV Video Game Set for 2 player with 15Emulator for Kids &amp;amp; Old School Station Video Game - Black"/>
        <s v="TOYTONIC G5 Handheld Game Console for Kids, Retro Gaming Device with 3.0&amp;quot; HD Screen, Built-in 500 Classic Games, AV Output, Random Color â€“ Portable Game Player for Boys &amp;amp; Girls, Multicolour"/>
        <s v="SMARTCAM M15 Game Stick 22000+ INBUILT Video Game Console Retro Classic 3D 4K Full HD with 2 Wireless Gamepad Plug &amp;amp; Play Video Game 64GB"/>
        <s v="Maizic GS5 Pro 4K Retro Gaming Console | 30,000+ Games Built-in | 53 Emulators | Wireless HDMI Plug &amp;amp; Play Game System for TV, PC, Projector | Includes 2 Wireless Controllers"/>
        <s v="TOYTONIC Portable Retro Handheld Game Console for Kids | Classic Gaming with Preloaded 620 Games | 3.5&amp;quot; Color Screen, Built-in Power Cell, TV Output | Video Games Player ð‹ð¢ð¦ð¢ð­ðžð ð“ð¨ððšð²"/>
        <s v="New 2026 Upgraded 4k TV Video Game Gaming System, Plug &amp;amp; Play Video TV Games HD with Wireless 2 Controllers for Men/Women/Girls/Boys/Adult/Kids"/>
        <s v="NextTech P5 4K Retro Game Console | Portable Handheld Gaming Device | Built-in Classic Games | HDMI TV Output | Plug &amp;amp; Play Video Game Stick for Kids, Adults &amp;amp; Family Entertainment"/>
        <s v="VikriDA Handheld Game Players | 4.3In X7 Video Game Console | Double Rocker 8GB Memory Built in 10000 Games MP5 Multifunctional Inbuilt Camera"/>
        <s v="GSH Wireless 4K Video Game Console Stick with built-in Retro Classic Games + Gamepads"/>
        <s v="VikriDA G5 500-in-1 Retro Handheld Game Console for Kids â€“ 2 Players Classic TV-Compatible Game Box with Controller â€“ Multicolor"/>
        <s v="Zepplay Retro Game Stick 4K Plug &amp;amp; Play HDMI Console for TV | 21,000+ Preloaded Retro-Style Games | Dual Wireless Controllers | 64GB Card | Gaming Console for Kids &amp;amp; Family Entertainment"/>
        <s v="ZORBESÂ® Hard EVA Carrying Case for Retro Handheld Game Console, Shockproof Protective Travel Storage Bag Portable Retro Gaming Console Case with Mesh Pocket &amp;amp; Wrist Strap"/>
        <s v="ASUS ROG XBOX Ally (2025), AMD Ryzen Z2 A Processor,16GB RAM, 512GB SSD, 7&amp;quot;/17.8cm, FHD, Touchscreen,120Hz, 500 nits, Windows 11 Home, White, 670g, RC73YA-NH010W,AMD Radeon Graphics,Gaming Handheld PC"/>
        <s v="400 in 1 Handheld Game Console for Kids | 3.0 Inch Screen | Rechargeable Battery | TV Output | 2 Player Retro Gaming Console"/>
        <s v="J36 Ultra Handheld Gaming Console with | WiFi &amp;amp; YouTube |3.5 Inch IPS HD Display, 64 GB, 30,000+ Games, Rechargeable Battery 20+ Emulator Hand Video Game, RGB joystick lighting, Built-in YouTube support (Orange)"/>
        <s v="POWERNRI 2026 Classic Game Box R36S Handheld Gaming Console with 10000+ Retro Games, 3.5&amp;quot; Display, Dual Joysticks, Rechargeable Battery for Kids &amp;amp; Adults"/>
        <s v="Goyal&amp;#x27;s 500 in 1 - TV Compatible Classical Handheld G5 Video Games for Kids with Many Fun and Exciting Games - Multicolour (Big Screen - 2.8 Inches)"/>
        <s v="Casaquin R36S Retro Handheld Gaming Device, 64GB Storage with 15000+ Built-in Games, 3.5 Inch IPS Screen, Portable Linux Gaming System, Rechargeable Battery"/>
        <s v="VGRASSP Two Player 400 in 1 Handheld Video Game Console for Kids â€“ Retro Portable Console with Built-in Classic Games, Rechargeable Battery, Gift for Boys &amp;amp; Girls - Multicolor"/>
        <s v="R36MAX Retro Handheld Game Console, 4.0 inch IPS Screen, More Than 20 Emulator and 18000+ Games, Portable Hand Held Open Source Linux System Video Game Console (128Gb Translucent Blue)"/>
        <s v="2025 New Edition | Wireless for TV HDMI Gaming Plug &amp;amp; Play Video Game 4K HD Game Stick| Wireless Stick with Game Built-in 22,000+ Games &amp;amp; 64Gb, 23 Emu. TV Gaming Console 5 Years to 17 Years (Kids)"/>
        <s v="Parteet Rechargeable Pocket Video Game for Kids 400 in 1 Retro Game Box Console Handheld Game Box with TV Output - (Color and Design Will be Send as per Stock)"/>
        <s v="J36 Ultra Handheld Gaming Console with | WiFi &amp;amp; YouTube |3.5 Inch IPS HD Display, 64 GB, 30,000+ Games, Rechargeable Battery 20+ Emulator Hand Video Game, RGB joystick lighting, Built-in YouTube support (Black)"/>
        <s v="XF40H Handheld Game Console, 64GB Retro Gaming Device with 4.0 Inch 4K HD IPS Screen, 20000+ Preloaded Games, Linux System, Inbuilt WiFi (Black)"/>
        <s v="2026 Wireless TV Game Console Stick 4K, with Built-in 9+ Emulators, 21,000+ Games, 4k Hdmi Output &amp;amp; 2.4GHz Controller, Nostalgic Gaming I Retro Game I (for All Kids Edition)"/>
        <s v="Domenico Retro Handheld Gaming Console, Video Game for Kids, 3 Iinch Display, 400 Games, TV Compatible, Gaming Console for Kids and Adults (Color As Per Availability)"/>
        <s v="Retro Gaming Console R36S Handheld with 10000+ Preloaded Games, 3200mAh Battery, 4K Ultra HD Output, Portable Game Box for Travel &amp;amp; Home"/>
        <s v="Cubonic VividGo MI7 Portable Gaming Console, All-in-One Gaming Powerhouse, 4.3-Inch HD Display, 20000+ Pre-Installed Games, Dual Joysticks, Expandable Storage, Multimedia Hub"/>
        <s v="VikriDA G7 Retro 3.5-Inch LCD Color Screen Handheld Game with Gamepad Support Console Mini Ultra-Thin 666 Built-in Games Player Gift for Kids - Multicolor"/>
        <s v="NextTech 2026 Retro Handheld Console with 3.5&amp;quot; HD Display | Plug &amp;amp; Play Portable Gaming Device | Built-in Classic Arcade Games | Compact Mini Game Console for Kids, Teens &amp;amp; Adults"/>
        <s v="POWERNRI X7 Handheld Game Console with 10000+ Built-in Retro Games, Portable PSP Style Gaming Device, 8GB Memory, MP5 Multimedia Player for Kids &amp;amp; Adults"/>
        <s v="Casaquin GS5 Pro 4K Retro Video Game Console for TV | 22,000+ Built-in Games | 23 Emulators | Plug &amp;amp; Play Gaming Stick | Dual Wireless Controllers | 4K Ultra HD HDMI Game Console for Kids &amp;amp; Adults"/>
        <s v="VGRASSP Two Player 400 in 1 Handheld Video Game Console for Kids â€“ Retro Portable Console with Built-in Classic Games, Rechargeable Battery, Gift for Boys &amp;amp; Girls - Color As Per Stock"/>
        <s v="Cubonic CrystalPlay R36S Retro Gaming Console, Transparent PixelGlass, 3.5-Inch LCD Screen, RK3326 Quad-Core, 15000+ Games, Dual Joystick, Support MAX 256GB Storage, 3000mAh Battery (black)"/>
        <s v="gamesoul R50S Retro Game Console, 5 Inch Emulator System, 64 GB, 15000+ Preinstalled Video Games"/>
        <s v="Maizic Smarthome G5 500 in 1 Retro Game Box Only for 1 Player, 3 Inch Display, Mini Handheld Classic Games, Built-in Games Rechargeable, Portable, Video Game for Kids (Green)"/>
        <s v="SMARTCAM 3.0 Inch Portable Handheld Video Game Console with Preloaded Games, Slim Gaming Player for Kids, Fun Gift Option"/>
        <s v="New World Rechargeable Pocket Video Game for Kids, Retro Video Game Box Handheld Console Game Box with TV Output"/>
        <s v="CHG Handheld Video Game Console for Kids, Built-in Retro Games | 400 in 1 Console | Indoor Games for Kids Ages 7 to 15 | Gift for Boys and Girls | Portable Fun for Travel and Home"/>
        <s v="VGRASSP 400 in 1 Mini Video Game Toy for Kids - Portable Retro Handheld Game Console with Rechargeable Battery - AV Output TV Compatible - Color and Design As Per Stock (Modern) (Classic)"/>
        <s v="Smartcam R36S Handheld Gaming Console with 3.5â€ HD Screen | 15000+ Retro Games | 21 Emulators | Dual Joystick | 3500mAh Battery | Save &amp;amp; Load | Portable Retro Game Player"/>
        <s v="Kidsmate Handheld Gaming Console Video Game for Kids with 666 Built-in Retro Games | Rechargeable Battery, Compact Design with TV Connectivity for Big Screen Play | Ideal for Fun &amp;amp; Learning (Green)"/>
        <s v="(New) Wireless Retro Game Console Stick 4K Stick with Built-in 9+ Emulators 21,000+ Games, 4k Hdmi Output &amp;amp; 2.4GHz Wireless Controller, Retro Game Emulators, Plug &amp;amp; Play TV Video Games for All"/>
        <s v="M22 Special Edition Retro Gaming Console - Wireless Controller Gamepad- 1080P HD Graphics, 64GB Storage,Video Game TV Stick for All Ages"/>
        <s v="Cubonic 7&amp;quot; Full HD Screen Linux System Retro Handheld Gaming Console 64GB Storage, Support 30+ Emulator Games with HDMI Output Wireless Dual Remote Controller (White)"/>
        <s v="Cubonic Mi7 Portable Gaming Console, Beige, 4.3&amp;quot; HD Display, 20000+ Preloaded Retro Games, Built-in Stereo Speakers, Expandable Storage, Classic Controls, Long Battery Life (VividGo Mi7)"/>
        <s v="Enter Usb Game Pad With Vibration E-Gpv, PC, Gamepad"/>
        <s v="400 in 1 Mini Retro Handheld Game Console for Kids, Portable Video Game Toy with Rechargeable Battery, AV Output TV Compatible Classic Arcade Gaming Device (Multicolour)"/>
        <s v="New 2025 Edition R36S Handheld Console Video Game | HD Screen | Portable &amp;amp; Rechargeable | Built-in 15000+ Games &amp;amp; 64 GB | 20 Emulators | Video Games for All Age Group, Purple"/>
        <s v="G90 7-Inch Full HD Handheld Video Game Console with 21+ Emulators, 64GB Preloaded Games, Wireless Gaming Controller, Professional Gaming Chip, Portable Retro Arcade Gaming Console for Kids &amp;amp; Adults (Red &amp;amp; Blue)"/>
        <s v="Gagon Traders Handheld Gaming Console for Kids &amp;amp; Adults | 520 Classic Built-in Games | Retro Video Game Player | Portable, Rechargeable, TV Output | Toy &amp;amp; Gift for Boys Girls Ages 6-14 | Mini Game Box"/>
        <s v="VGRASSP 400 in 1 Handheld Video Game Console for Kids â€“ Retro Portable Console with Built-in Classic Games, Rechargeable Battery, Gift for Boys &amp;amp; Girls - Multicolor"/>
        <s v="HZ New 2025 Edition R36S Handheld Console Video Game | HD Screen | Portable &amp;amp; Rechargeable | Built-in 15000+ Games &amp;amp; 64 GB | 20 Emulators | Games for All Age Group (Colour As Per Stock)"/>
        <s v="Handheld Game Console HN-R36S , 15k+ Gamees 3.5-inch IPS Display, 64GB Storage, 1 Ram Chip (1GB) 8+ Hour Battery Life (Purple)"/>
        <s v="Nex Playground Game System, Indoor Family Game Night, Fun Games &amp;amp; Physical Play, Unique AI-Powered Motion Tracking Video Game Console, Transforms Living Room into a Family or Party Games Space"/>
        <s v="Sameo Handheld Video Game Console, Dreamboy Retro Mini Game with 500 Classic Retro Game TV Compatible for Kids, Rechargeable 8 Bit Classic (Ice Green)"/>
        <s v="Sameo iPlay+ 32 Bit Motion TV Video Game Console With All New Motion Gun with 1056 Built in Games 33 Motion Sports Games,34 Puzzle Games, 69 Casual Game, 20 Shooting Game"/>
        <s v="G90 7-Inch Full HD Handheld Video Game Console with 21+ Emulators, 64GB Preloaded Games, Wireless Gaming Controller, Professional Gaming Chip, Portable Retro Arcade Gaming Console for Kids &amp;amp; Adults (Black)"/>
        <s v="Sameo Thunder NX Handheld Game Console â€“ 64GB 15000+ Games 4.5â€ IPS Display Retro Gaming Dual-Core"/>
        <s v="PICSTAR GS5 Pro Classic TV Video Game Console with 30000 Games and 1080 Output with 53 Simulators for PSP Games"/>
        <s v="NextTech 4K Plug &amp;amp; Play Retro Gaming Console | Built-in Classic Games | HDMI TV Compatible Game Stick | Dual Wireless Gamepads | Perfect Family &amp;amp; Kids Entertainment Device"/>
        <s v="R36MAX Retro Gaming Console, Handheld Game Console with 4000mAh Battery 4.0â€IPS Screen, Open Source Linux System, 64GB TF Card Portable Pocket Arcade, Transparent Black"/>
        <s v="LEROKAS J36 Ultra Handheld Gaming Console, Portable Retro Game Player, RGB Dual Joysticks, Orange"/>
        <s v="Gagon Traders 8 Bit TV Video Game Console with 2 Controllers, Gun, AV Cable, Adapter, Grey, Retro Gaming System With Two Free Cassettes"/>
        <s v="PICSTAR GS5Pro Retro Gaming Console - Wireless Controller Gamepad- 1080P HD Graphics, 64GB Storage,Video Game TV Stick for All Ages"/>
        <s v="iNext INT-333 Retro Gaming Console - 98,800 Pre-Installed Games | Plug &amp;amp; Play | HD Output | 1 Player &amp;amp; User vs. Computer Mode | for Kids, Adults &amp;amp; Family Entertainment"/>
        <s v="Endzone Video Games For Kids 520 in 1 Controller Gamepad Video Game, Retro Gaming Console, Gameboy Age 7, Digital Game Player, Pocket Gamer, Handheld Gaming Console,"/>
        <s v="R36S Retro Handheld Video Game Console 3.5 inch Retro Handheld Video Games Consoles Built-in Rechargeable Battery Portable Style Hand Held Game Consoles"/>
        <s v="New 2026 PoweNri M8 Retro Game Console HDMI for TV | Plug &amp;amp; Play Gaming Stick with Wireless Controllers | 1080p HD Display | 2 Player Support | Compact Gaming Device | Black"/>
        <s v="BELOXY Handheld Gaming Console for Kids &amp;amp; Adults | 520 Classic Built-in Games | Retro Video Game Player | Portable, Rechargeable, TV Output | Toy &amp;amp; Gift for Boys Girls Ages 6-14 | Mini Game Box"/>
        <s v="BELOXY Handheld 400 in 1 Video Game for Kids, Rechargeable Game Box with TV Output &amp;amp; with Gaming Console Style 3, Red"/>
        <s v="VOILA M33 Retro Gaming Console, Video Game Console for TV, Gaming Controller, Games Stick, Ultimate 90s Gamepad. 4k HD, 64GB. CE, ROHS, and BIS Certified, Original Unit"/>
        <s v="New World an/bernic RG35XX H Retro Handheld Game Console 3.5 in IPS Screen Built-in 3300mAH Battery 64G TF Card , Classic Games Console (Black)"/>
        <s v="Wireless Gaming Console Set compatible with GS5 Style, White and Black, 2 Controllers with USB Dongle Included"/>
      </sharedItems>
    </cacheField>
    <cacheField name="Category" numFmtId="0">
      <sharedItems count="12">
        <s v="Smartphone"/>
        <s v="Laptop"/>
        <s v="Headphones"/>
        <s v="Smartwatch"/>
        <s v="Tablet"/>
        <s v="Earbuds"/>
        <s v="Television"/>
        <s v="Refrigerator"/>
        <s v="Washing Machine"/>
        <s v="Air Conditioner"/>
        <s v="Camera"/>
        <s v="Gaming Console"/>
      </sharedItems>
    </cacheField>
    <cacheField name="Product_Price" numFmtId="164">
      <sharedItems containsString="0" containsBlank="1" containsNumber="1" minValue="139" maxValue="1117486"/>
    </cacheField>
    <cacheField name="Original_Price" numFmtId="164">
      <sharedItems containsString="0" containsBlank="1" containsNumber="1" minValue="399" maxValue="1409912"/>
    </cacheField>
    <cacheField name="discount" numFmtId="0">
      <sharedItems containsString="0" containsBlank="1" containsNumber="1" minValue="1E-3" maxValue="0.93500000000000005"/>
    </cacheField>
    <cacheField name="Product_Rating" numFmtId="0">
      <sharedItems containsString="0" containsBlank="1" containsNumber="1" minValue="1" maxValue="5"/>
    </cacheField>
    <cacheField name="Num_Ratings" numFmtId="0">
      <sharedItems containsSemiMixedTypes="0" containsString="0" containsNumber="1" containsInteger="1" minValue="0" maxValue="435089"/>
    </cacheField>
    <cacheField name="Num_Offers" numFmtId="0">
      <sharedItems containsSemiMixedTypes="0" containsString="0" containsNumber="1" containsInteger="1" minValue="1" maxValue="15"/>
    </cacheField>
    <cacheField name="Is_Prime" numFmtId="0">
      <sharedItems/>
    </cacheField>
    <cacheField name="Is_Best_Seller" numFmtId="0">
      <sharedItems/>
    </cacheField>
    <cacheField name="Is_Amazon_Choice" numFmtId="0">
      <sharedItems/>
    </cacheField>
    <cacheField name="Climate_Pledge_Friendly" numFmtId="0">
      <sharedItems/>
    </cacheField>
    <cacheField name="Scraped_At" numFmtId="14">
      <sharedItems containsSemiMixedTypes="0" containsNonDate="0" containsDate="1" containsString="0" minDate="2026-06-05T00:00:00" maxDate="2026-06-06T00:00:00"/>
    </cacheField>
    <cacheField name="Total_Rating_Points" numFmtId="0">
      <sharedItems containsMixedTypes="1" containsNumber="1" minValue="1" maxValue="1783864.9"/>
    </cacheField>
    <cacheField name="Product_Price2" numFmtId="164">
      <sharedItems containsString="0" containsBlank="1" containsNumber="1" minValue="139" maxValue="1117486"/>
    </cacheField>
    <cacheField name="Price Range" numFmtId="0">
      <sharedItems/>
    </cacheField>
    <cacheField name="Rating Range" numFmtId="0">
      <sharedItems count="7">
        <s v="4.0–4.4"/>
        <s v="3.0–3.9"/>
        <s v="2.0–2.9"/>
        <s v="4.5–5.0"/>
        <s v="Not Rated"/>
        <s v="Below 2.0"/>
        <s v=""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460004629633" createdVersion="8" refreshedVersion="8" minRefreshableVersion="3" recordCount="623" xr:uid="{232D14D2-34B9-4E83-99F5-C46159995E1E}">
  <cacheSource type="worksheet">
    <worksheetSource ref="A1:Q624" sheet="cleaned_data"/>
  </cacheSource>
  <cacheFields count="18">
    <cacheField name="ASIN" numFmtId="0">
      <sharedItems/>
    </cacheField>
    <cacheField name="Product_Title" numFmtId="0">
      <sharedItems/>
    </cacheField>
    <cacheField name="Category" numFmtId="0">
      <sharedItems/>
    </cacheField>
    <cacheField name="Product_Price" numFmtId="164">
      <sharedItems containsString="0" containsBlank="1" containsNumber="1" minValue="139" maxValue="1117486"/>
    </cacheField>
    <cacheField name="Original_Price" numFmtId="164">
      <sharedItems containsString="0" containsBlank="1" containsNumber="1" minValue="399" maxValue="1409912"/>
    </cacheField>
    <cacheField name="discount" numFmtId="0">
      <sharedItems containsString="0" containsBlank="1" containsNumber="1" minValue="1E-3" maxValue="0.93500000000000005"/>
    </cacheField>
    <cacheField name="Product_Rating" numFmtId="0">
      <sharedItems containsString="0" containsBlank="1" containsNumber="1" minValue="1" maxValue="5"/>
    </cacheField>
    <cacheField name="Num_Ratings" numFmtId="0">
      <sharedItems containsSemiMixedTypes="0" containsString="0" containsNumber="1" containsInteger="1" minValue="0" maxValue="435089"/>
    </cacheField>
    <cacheField name="Num_Offers" numFmtId="0">
      <sharedItems containsSemiMixedTypes="0" containsString="0" containsNumber="1" containsInteger="1" minValue="1" maxValue="15"/>
    </cacheField>
    <cacheField name="Is_Prime" numFmtId="0">
      <sharedItems/>
    </cacheField>
    <cacheField name="Is_Best_Seller" numFmtId="0">
      <sharedItems/>
    </cacheField>
    <cacheField name="Is_Amazon_Choice" numFmtId="0">
      <sharedItems/>
    </cacheField>
    <cacheField name="Climate_Pledge_Friendly" numFmtId="0">
      <sharedItems/>
    </cacheField>
    <cacheField name="Scraped_At" numFmtId="14">
      <sharedItems containsSemiMixedTypes="0" containsNonDate="0" containsDate="1" containsString="0" minDate="2026-06-05T00:00:00" maxDate="2026-06-06T00:00:00"/>
    </cacheField>
    <cacheField name="Total_Rating_Points" numFmtId="0">
      <sharedItems containsMixedTypes="1" containsNumber="1" minValue="1" maxValue="1783864.9"/>
    </cacheField>
    <cacheField name="Product_Price2" numFmtId="164">
      <sharedItems containsString="0" containsBlank="1" containsNumber="1" minValue="139" maxValue="1117486"/>
    </cacheField>
    <cacheField name="Price Range" numFmtId="0">
      <sharedItems count="6">
        <s v="₹5,000–₹10,000"/>
        <s v="Above ₹10,000"/>
        <s v="₹1,000–₹5,000"/>
        <s v=" "/>
        <s v="Under ₹500"/>
        <s v="₹500–₹1,000"/>
      </sharedItems>
    </cacheField>
    <cacheField name="Rating Range"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460004745371" createdVersion="8" refreshedVersion="8" minRefreshableVersion="3" recordCount="623" xr:uid="{37DFF0E7-A1BC-473D-A8CC-60C4FEB4230F}">
  <cacheSource type="worksheet">
    <worksheetSource ref="A1:O624" sheet="cleaned_data"/>
  </cacheSource>
  <cacheFields count="15">
    <cacheField name="ASIN" numFmtId="0">
      <sharedItems/>
    </cacheField>
    <cacheField name="Product_Title" numFmtId="0">
      <sharedItems/>
    </cacheField>
    <cacheField name="Category" numFmtId="0">
      <sharedItems count="12">
        <s v="Smartphone"/>
        <s v="Laptop"/>
        <s v="Headphones"/>
        <s v="Smartwatch"/>
        <s v="Tablet"/>
        <s v="Earbuds"/>
        <s v="Television"/>
        <s v="Refrigerator"/>
        <s v="Washing Machine"/>
        <s v="Air Conditioner"/>
        <s v="Camera"/>
        <s v="Gaming Console"/>
      </sharedItems>
    </cacheField>
    <cacheField name="Product_Price" numFmtId="164">
      <sharedItems containsString="0" containsBlank="1" containsNumber="1" minValue="139" maxValue="1117486"/>
    </cacheField>
    <cacheField name="Original_Price" numFmtId="164">
      <sharedItems containsString="0" containsBlank="1" containsNumber="1" minValue="399" maxValue="1409912"/>
    </cacheField>
    <cacheField name="discount" numFmtId="0">
      <sharedItems containsString="0" containsBlank="1" containsNumber="1" minValue="1E-3" maxValue="0.93500000000000005"/>
    </cacheField>
    <cacheField name="Product_Rating" numFmtId="0">
      <sharedItems containsString="0" containsBlank="1" containsNumber="1" minValue="1" maxValue="5"/>
    </cacheField>
    <cacheField name="Num_Ratings" numFmtId="0">
      <sharedItems containsSemiMixedTypes="0" containsString="0" containsNumber="1" containsInteger="1" minValue="0" maxValue="435089"/>
    </cacheField>
    <cacheField name="Num_Offers" numFmtId="0">
      <sharedItems containsSemiMixedTypes="0" containsString="0" containsNumber="1" containsInteger="1" minValue="1" maxValue="15"/>
    </cacheField>
    <cacheField name="Is_Prime" numFmtId="0">
      <sharedItems/>
    </cacheField>
    <cacheField name="Is_Best_Seller" numFmtId="0">
      <sharedItems/>
    </cacheField>
    <cacheField name="Is_Amazon_Choice" numFmtId="0">
      <sharedItems/>
    </cacheField>
    <cacheField name="Climate_Pledge_Friendly" numFmtId="0">
      <sharedItems/>
    </cacheField>
    <cacheField name="Scraped_At" numFmtId="14">
      <sharedItems containsSemiMixedTypes="0" containsNonDate="0" containsDate="1" containsString="0" minDate="2026-06-05T00:00:00" maxDate="2026-06-06T00:00:00"/>
    </cacheField>
    <cacheField name="Total_Rating_Points" numFmtId="0">
      <sharedItems containsMixedTypes="1" containsNumber="1" minValue="1" maxValue="1783864.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460005439818" createdVersion="8" refreshedVersion="8" minRefreshableVersion="3" recordCount="623" xr:uid="{71ABAA90-9B06-48AE-A18E-ABCDD00BA9E5}">
  <cacheSource type="worksheet">
    <worksheetSource ref="A1:N624" sheet="cleaned_data"/>
  </cacheSource>
  <cacheFields count="14">
    <cacheField name="ASIN" numFmtId="0">
      <sharedItems/>
    </cacheField>
    <cacheField name="Product_Title" numFmtId="0">
      <sharedItems/>
    </cacheField>
    <cacheField name="Category" numFmtId="0">
      <sharedItems count="12">
        <s v="Smartphone"/>
        <s v="Laptop"/>
        <s v="Headphones"/>
        <s v="Smartwatch"/>
        <s v="Tablet"/>
        <s v="Earbuds"/>
        <s v="Television"/>
        <s v="Refrigerator"/>
        <s v="Washing Machine"/>
        <s v="Air Conditioner"/>
        <s v="Camera"/>
        <s v="Gaming Console"/>
      </sharedItems>
    </cacheField>
    <cacheField name="Product_Price" numFmtId="164">
      <sharedItems containsString="0" containsBlank="1" containsNumber="1" minValue="139" maxValue="1117486"/>
    </cacheField>
    <cacheField name="Original_Price" numFmtId="164">
      <sharedItems containsString="0" containsBlank="1" containsNumber="1" minValue="399" maxValue="1409912"/>
    </cacheField>
    <cacheField name="discount" numFmtId="0">
      <sharedItems containsString="0" containsBlank="1" containsNumber="1" minValue="1E-3" maxValue="0.93500000000000005"/>
    </cacheField>
    <cacheField name="Product_Rating" numFmtId="0">
      <sharedItems containsString="0" containsBlank="1" containsNumber="1" minValue="1" maxValue="5"/>
    </cacheField>
    <cacheField name="Num_Ratings" numFmtId="0">
      <sharedItems containsSemiMixedTypes="0" containsString="0" containsNumber="1" containsInteger="1" minValue="0" maxValue="435089"/>
    </cacheField>
    <cacheField name="Num_Offers" numFmtId="0">
      <sharedItems containsSemiMixedTypes="0" containsString="0" containsNumber="1" containsInteger="1" minValue="1" maxValue="15"/>
    </cacheField>
    <cacheField name="Is_Prime" numFmtId="0">
      <sharedItems/>
    </cacheField>
    <cacheField name="Is_Best_Seller" numFmtId="0">
      <sharedItems/>
    </cacheField>
    <cacheField name="Is_Amazon_Choice" numFmtId="0">
      <sharedItems/>
    </cacheField>
    <cacheField name="Climate_Pledge_Friendly" numFmtId="0">
      <sharedItems/>
    </cacheField>
    <cacheField name="Scraped_At" numFmtId="14">
      <sharedItems containsSemiMixedTypes="0" containsNonDate="0" containsDate="1" containsString="0" minDate="2026-06-05T00:00:00" maxDate="2026-06-06T00: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574854050923" createdVersion="8" refreshedVersion="8" minRefreshableVersion="3" recordCount="623" xr:uid="{87D85671-0C6A-4DC7-AC08-51C5CB533B39}">
  <cacheSource type="worksheet">
    <worksheetSource name="Table4"/>
  </cacheSource>
  <cacheFields count="19">
    <cacheField name="ASIN" numFmtId="0">
      <sharedItems/>
    </cacheField>
    <cacheField name="Product_Title" numFmtId="0">
      <sharedItems count="619">
        <s v="Samsung Galaxy M07 Mobile (Black, 4GB RAM, 64GB Storage) | MediaTek Helio G99 | AnTuTu 624K | IP54| 50MP Camera | 7.6mm Slim | 5000mAh Battery | 25W Fast Charging | 6 Gen OS Upgrades | Without Charger"/>
        <s v="realme C71 4G Smartphone 6GB+128GB,6.745 inch Screen, 90Hz Eye Comfort Display, 6300mAh Battery, 37MP Cameras, Unisoc T7250 Chip, IP54, Sea Blue"/>
        <s v="SAMSUNG Galaxy F07 (Green, 64 GB) (4 GB RAM)"/>
        <s v="realme NARZO 80 Lite 4G (Beach Gold 2026, 4GB+64GB) | 6300mAh Segment&amp;#x27;s Biggest Battery | 7.94mm Slim Design | 300% Ultra Volume | Pulse Light: 9 Colors, 5 Glow Modes | Ai Assist"/>
        <s v="realme NARZO 90 5G (Carbon Black,8GB+128GB) | 7000mAh Biggest Battery | 60W Fastest Charging | 50MP Front &amp;amp; Rear AI Cameras | 4000nits Brightest Display | AI Assist | IP69 Dust &amp;amp; Water Resistance"/>
        <s v="OnePlus Nord CE6 Lite | 8GB+128GB | Hyper Black | Segment&amp;#x27;s Fastest Dimensity 7400 Apex Processor | 7000mAh Battery | Segment&amp;#x27;s Highest 144Hz Refresh Rate | 50MP Main Camera, 4K Video Recording"/>
        <s v="Samsung Galaxy M06 5G Mobile (Sage Green, 4GB RAM, 128GB Storage) | MediaTek Dimensity 6300 | AnTuTu 623K+ | 12 5G Bands | 25W Fast Charging | 4 Gen OS Upgrades | 50MP Camera | Without Charger"/>
        <s v="Pro 10 -Mini 4G Smartphone 4.5&amp;quot; Display | 3GB RAM 32GB Storage (Up to 128GB) | Dual SIM | 2350mAh Battery | Type-C Charging | Android Phone for Travel, Kids &amp;amp; Backup Use | Color as per Stock"/>
        <s v="Samsung Galaxy F06 5G, Lit Voilet (6GB, 128GB)"/>
        <s v="Samsung Galaxy F06 5G, Bahama Blue (4GB, 128GB)"/>
        <s v="acerpure Acerone Liquid 4G Smartphone (Blue, 4GB RAM, 64GB Storage) with 6.5&amp;quot; IPS Display, 20MP Rear Camera, 5000mAh Battery, Android 14, Octa-Core MT6765 Processor"/>
        <s v="REDMI A7 Pro 5G (Mist Blue, 4GB RAM, 64GB Storage) | Segment&amp;#x27;s Fastest Processor | Segment&amp;#x27;s Largest Battery | Segment&amp;#x27;s Largest &amp;amp; Smoothest 6.9in 120Hz Display"/>
        <s v="realme narzo 100 Lite 5G (Frost Silver,4GB+128GB) | 7000mAh Titan Battery | 4 Years, Zero Lag | 144 Hz Ultra Smooth Display | 6 nm Octa-core 5G Chipset | Color Pop Design | VC Cooling"/>
        <s v="Samsung Galaxy M17e 5G Mobile (Blitz Blue, 6GB RAM, 128GB Storage) | Smoothest 120 Hz Refresh Rate| Monster 6000 mAh Battery | IP54 | 6 Gen OS Upgrades | AI | Gemini Live | Without Charger"/>
        <s v="OPPO K14x 5G Smartphone, 6GB RAM, 128GB Storage, ICY Blue, Dual Camera, 48-Month Fluency Protection"/>
        <s v="REDMI A7 Pro 4G (Black, 4GB RAM, 64GB Storage) | Segment&amp;#x27;s Slimmest Smartphone | Segment&amp;#x27;s Largest 6300mAh Battery | Segment&amp;#x27;s Largest 17.53cm and Smoothest 120Hz Display | Charger in the Box"/>
        <s v="OnePlus Nord 6 | 12GB+256GB | Fresh Mint | Snapdragon 8s Gen 4 | Segment&amp;#x27;s First Stable 165FPS Gaming | Segment&amp;#x27;s Largest 9000mAh Battery | Most Complete IP Rating | Personalized AI"/>
        <s v="iQOO Z11x 5G (Titan Black, 6GB RAM, 128 GB Storage) | Dimensity 7400-Turbo Processor | 7200 mAh Battery | 4K Video Recording Front &amp;amp; Back | IP68 &amp;amp; IP69+ | Powered by OriginOS 6"/>
        <s v="Samsung Galaxy M56 5G Mobile (Black, 8GB RAM, 128GB Storage)| Segment Slimmest | Gorilla Glass Victus+ | 10 Bit HDR Video | 50MP Camera | AI | Vapour Cooling Chamber | Lag-free Gaming| Without Charger"/>
        <s v="realme NARZO 80 Pro 5G (Speed Silver,8GB+256GB) | Segment&amp;#x27;s 1st MediaTek Dimensity 7400 Chipset | 6000mAh Titan Battery + 80W Ultra Charge | 4500nits HyperGlow Esports Display | IP69 Waterproof"/>
        <s v="Samsung Galaxy M17 5G Mobile (Sapphire Black, 4GB RAM, 128GB Storage) | 50MP OIS Triple Camera | Gorilla Glass Victus | IP54 | 6 Gen OS Upgrades | AI | Gemini Live | Lag-Free Gaming | Without Charger"/>
        <s v="REDMI 15C 5G Dusk Purple 8GB + 128GB | Royale Design | Massive 6000mAh Battery | Segment&amp;#x27;s Largest 17.53cm Display Up to 120Hz | MediaTek Dimensity 6300 | 33W Fast Charging | 50MP AI Dual Camera"/>
        <s v="Samsung Galaxy M17e 5G Mobile (Vibe Violet, 4GB RAM, 128GB Storage) | Smoothest 120 Hz Refresh Rate| Monster 6000 mAh Battery | IP54 | 6 Gen OS Upgrades | AI | Gemini Live | Without Charger"/>
        <s v="SHIVANSH 14 Pro Mini 4G Smartphone | 3GB RAM 32GB Storage (Expandable 128GB) | 4.05 Inch Compact Display | Dual SIM | Android 12 | Type-C Charging | Pocket Size Mobile (Color as per Stock)"/>
        <s v="Lava Bold N2 (Indus Black, 4 GB RAM, 64 GB Storage) | 13MP AI Dual Rear Camera | Largest 6.75&amp;quot; HD+ Display | 5000 mAh Battery &amp;amp; 10W Charging | IP64 Water &amp;amp; Dust Proof | Charger &amp;amp; Phone-Case in Box"/>
        <s v="Redmi 15 5G Midnight Black 8GB + 256GB | Segment&amp;#x27;s Largest 7000mAhA Battery | Segment&amp;#x27;s Largest Display 17.53cm(6.9) Up to 144Hz | Snapdragon 6s Gen 3 | 18W Reverse Charging | 50MP AI Dual Camera"/>
        <s v="Google Pixel 10a 5G (Obsidian, 8GB RAM, 256GB Storage)"/>
        <s v="OnePlus 15R | 12GB+512GB | Charcoal Black | World&amp;#x27;s First SnapdragonÂ® 8 Gen 5 | 7400mAh Battery | Personalised AI | Game-Changing 165Hz Display | IP68 IP69 IP66 &amp;amp; IP69K | 4K 120fps Video"/>
        <s v="REDMI A7 Pro 5G (Black, 4GB RAM, 64GB Storage) | Segment&amp;#x27;s Fastest Processor | Segment&amp;#x27;s Largest Battery | Segment&amp;#x27;s Largest &amp;amp; Smoothest 6.9in 120Hz Display"/>
        <s v="Samsung Galaxy A17 5G (Blue, 6GB RAM, 128GB Storage) | 50 MP No Shake Camera | Gemini Live | Circle to Search | Super AMOLED | Corning Gorilla Glass Victus | 7.5mm Sleek | AI"/>
        <s v="REDMI A7 Pro 5G (Sunset Orange, 4GB RAM,128GB Storage) | Segment&amp;#x27;s Fastest Processor | Segment&amp;#x27;s Largest Battery | Segment&amp;#x27;s Largest &amp;amp; Smoothest 6.9in 120Hz Display"/>
        <s v="Samsung Galaxy F06 5G (Bahama Blue, 128 GB) (6 GB RAM)"/>
        <s v="Oppo Reno15c 5G (Twilight Blue, 8GB RAM, 256GB Storage) with No Cost EMI/Additional Exchange Offers"/>
        <s v="OPPO K14x 5G Smartphone, Prism Violet, 4GB RAM, 64GB Storage, 6500mAh Battery, 45W Fast Charge"/>
        <s v="Mi Redmi 8 Ruby Red, 4GB RAM, 64GB Storage Smartphone"/>
        <s v="REDMI Note 15 Pro+ 5G (Coffee Mocha, 12GB + 512GB) | 200MasterPixel OIS Camera | Snapdragon 7s Gen 4 | CrystalRes AMOLED | IP69/69K | 6500mAh Si/C Battery | 100W HyperCharge"/>
        <s v="vivo T5x 5G (Star Silver, 8GB RAM, 256GB Storage) | 50MP AI Dual Camera | 32MP Selfie | 6.76&amp;quot; FHD+ Display | 7200mAh Battery | Dimensity 7400-Turbo Processor | Fast Charging | Dual SIM Smartphone"/>
        <s v="Motorola G45 5G (Brilliant Green, 8GB RAM, 128GB Storage) | 6.5&amp;quot; FHD+ Display | Snapdragon 6 Gen1 Processor | 50MP Camera | 16MP Front Camera | 5000mAh Battery | 33W Charging"/>
        <s v="Lava Bold N1 5G (Champagne Gold, 6GB RAM, 128GB Storage) |Bigger 6.75&amp;quot; HD+ Notch Display | Octacore 5G Processor | 13 MP AI Camera |5000 mAh Battery| IP54 Rated Dust &amp;amp; Water Splash Proof"/>
        <s v="iQOO Z11x 5G (Prismatic Green, 8GB RAM, 256 GB Storage) | Dimensity 7400-Turbo Processor | 7200 mAh Battery | 4K Video Recording Front &amp;amp; Back | IP68 &amp;amp; IP69+ | Powered by OriginOS 6"/>
        <s v="POCO M7 Plus 5G, Carbon Black (6GB, 128GB)"/>
        <s v="REDMI Note 15 5G (Glacier Blue, 8GB RAM 256GB Storage) | 108MP OIS Camera | Snapdragon 6 Gen 3 | 17.2cm Tough Curved AMOLED Screen | 5520mAh Battery | 45W Fast Charging"/>
        <s v="POCO C81, Sky Blue (4GB, 64GB)"/>
        <s v="iQOO 15R (Dark Knight, 8GB RAM, 256GB Storage) | SnapdragonÂ® 8 Gen 5 Processor | Indiaâ€™s Slimmest Smartphone in 7600mAh Battery* | Segment&amp;#x27;s Most Stable 144FPS Gaming*"/>
        <s v="Motorola Edge 60 Fusion 5G Smartphone with 6.67&amp;quot; 120Hz pOLED Display, 50MP OIS Camera, Android 14, Dimensity 7030 Processor, 68W Fast Charging (Pantone Amazonite, 8GB + 256GB Storage)"/>
        <s v="Samsung Galaxy M36 5G Mobile (Serene Green, 8GB RAM, 128GB Storage) | Google Gemini| Gorilla Glass Victus+ | 7.7mm | AI Enhanced 50MP OIS Triple Camera| Nightography| Lag-free Gaming | Without Charger"/>
        <s v="REDMI A7 4G (Sky Blue, 3 GB RAM, 64GB Storage) | Large 17.48cm (6.88) Smooth 120Hz Display | 5200mAh 2-Day Battery | Royale Design | Charger in the Box"/>
        <s v="iQOO Z10 5G (Glacier Silver, 12GB RAM, 256GB Storage) | India&amp;#x27;s Biggest Ever 7300 mAh Battery | Snapdragon 7s Gen 3 Processor | Brightest Quad Curved AMOLED Display in the Segment"/>
        <s v="Lenovo V15 G4 AMD Athlon Silver 7120U Laptop 8GB LPDDR5 Ram, 512 GB SSD PCIe, Windows 11 Lifetime Validity,15.6&amp;quot; FHD Screen, AMD Radeon 610M, Silver, 1 Year Brand Warranty"/>
        <s v="Dell 15 (Previously Inspiron) Laptop, 14th Gen Intel Core i3/Core 3 100U Processor, 8GB DDR4, 512 SSD, 15.6&amp;quot; FHD 120Hz IPS 250 nit Display, Win 11 + Office H&amp;amp;S 2024, Carbon Black, Thin &amp;amp; Light 1.63Kg"/>
        <s v="Lenovo Chromebook Intel Celeron N4500 (4GB RAM/64GB eMMC 5.1/11.6 Inch (29.46cm)/HD Display/2Wx2 Stereo Speakers/HD Camera/Chrome OS/Blue/1.21Kg), 82UY0014HA"/>
        <s v="ð——ð—²ð—¹ð—¹Laptop Model 5420 | ð—œð—¡ð—§ð—˜ð—Ÿi5 11th Gen Processor |8GB DDR4 RAM |256GB SSD |14&amp;quot; FHD Display | Win10 | A+ Condition Laptop (Refab)"/>
        <s v="Dell 15, Intel Core i3/Core 3 14th Gen-100U, 16GB DDR4, 512GB SSD, FHD IPS, 15.6&amp;quot;/39.62cm, Windows 11, Microsoft Office Home 2024, Carbon Black, 1.63Kg, Thin &amp;amp; Light, Laptop Model NO - Dell 15 DCU5250"/>
        <s v="Acer Aspire 3 Laptop Intel Core Celeron N4500 Processor Laptop (8 GB LPDDR4X SDRAM/256 GB SSD/Win11 Home/38 WHR/HD Webcam) A325-45 with 39.63 cm (15.6&amp;quot;) HD Display, Pure Silver, 1.5 KG"/>
        <s v="ASUS Vivobook 15, Smartchoice, AMD Ryzen 7 5825U, 16GB RAM, 512GB SSD, FHD 15.6&amp;quot;, Windows 11, Office Home 2024, Quiet Blue, 1.7Kg, M1502YA-BQ703WS, AMD Radeon iGPU, M365 Basic (1Year)*, 42Whr Laptop"/>
        <s v="ASUS TUF A15 (2025), AMD Ryzen 7 7445HS,RTX 3050-4GB,75W TGP,16GB DDR5(Upgradeable Upto 64GB) 512GB SSD,FHD,15.6&amp;quot;,144Hz,RGB Keyboard,Windows 11,Graphite Black,2.3 Kg FA506NCG-HN199W, Gaming Laptop"/>
        <s v="ASUS Chromebook CX1405 (2026), Smartchoice,Intel N50 Processor, Intel UHD iGPU, 8GB RAM, 128GB SSD, FHD, 14&amp;quot; (35.5 cm), Chrome OS, Pure Grey, 1.39 Kg, CX1405CTA-S60622, 42WHrs, Thin &amp;amp; Light Laptop"/>
        <s v="ASUS Vivobook 15, Smartchoice,Intel Core i3 13th Gen 1315U, 16GB RAM, 512GB SSD, FHD 15.6&amp;quot;, Touchscreen, Win11, Office 24, M365 Basic (1Y), Quiet Blue, 1.7Kg, X1504VA-E83959WS, Intel UHD iGPU, Laptop"/>
        <s v="Apple 2026 MacBook Neo 13â€³ Laptop with A18 Pro chip: Built for AI and Apple Intelligence, Liquid Retina Display, 8GB Unified Memory, 256GB SSD Storage, 1080p FaceTime HD Camera; Indigo"/>
        <s v="HP 15 (2026), Refrbishd AMD Ryzen 5 Hexa Core 7535U - (8 GB DDR5/512 GB SSD/) Thin and Light Business Laptop/15.6&amp;quot; FHD Display/Turbo Silver/1.5kg"/>
        <s v="HP 15, 13th Gen Intel Core i3-1315U Laptop (8GB DDR4,512GB SSD) Anti-Glare, Micro-Edge,15.6&amp;#x27;&amp;#x27;/39.6cm, FHD, Win11,M365 Basic(1yr),Office Home24, Silver,1.59kg, FHD Camera w/Privacy Shutter, fd0569TU"/>
        <s v="Lenovo V15 G4 AMD Ryzen 5 7520U 15.6 inch FHD Laptop, AMD Graphics, 16GB DDR5 5500Mhz Ram, 512GB SSD NVMe, Windows 11, Dolby Audio, Arctic Grey, 1 Year Onsite Brand Warranty"/>
        <s v="Dell 15, 13th Gen Intel Core i5-1334U (16GB DDR4, 512GB SSD) Anti-Glare FHD 15.6&amp;quot;/39.62cm, Windows 11, Microsoft Office Home 2024, Grey, 1.66kg, [Vostro 3530], 12 Month McAfee, Thin &amp;amp; Light Laptop"/>
        <s v="HP Smartchoice OmniBook 5 OLED (Previously Pavilion), Snapdragon X Processor (16GB LPDDR5x, 512GB SSD) 2K, 14&amp;#x27;&amp;#x27;/35.6cm, Win11, M365(1yr)* Office24, Silver, 1.35kg, he0014QU, Next-Gen AI Laptop"/>
        <s v="Apple 2026 MacBook Air 13â€³ Laptop with M5 chip: AI and Apple Intelligence, 34.46 cm (13.6â€³) Liquid Retina Display, 16GB Unified Memory, 512GB SSD Storage, 12MP Center Stage Camera, Touch ID; Sky Blue"/>
        <s v="Apple 2026 MacBook Neo 13â€³ Laptop with A18 Pro chip: Built for AI and Apple Intelligence, Liquid Retina Display, 8GB Unified Memory, 256GB SSD Storage, 1080p FaceTime HD Camera; Citrus"/>
        <s v="Apple 2026 MacBook Air 13â€³ Laptop with M5 chip: AI and Apple Intelligence, 34.46 cm (13.6â€³) Liquid Retina Display, 16GB Unified Memory, 512GB SSD Storage, 12MP Center Stage Camera, Touch ID; Midnight"/>
        <s v="HP Victus, AMD Ryzen 7 7445HS, 6GB RTX 4050, 16GB DDR5(Upgradeable) 512GB SSD, 144Hz, IPS, 300nits, FHD, 15.6&amp;#x27;&amp;#x27;/39.6cm, Win11, M365* Office24, Blue, 2.29kg, fb3130AX, Backlit, DTS Audio, Gaming Laptop"/>
        <s v="Lenovo Ideapad Slim 3, 13th Gen Intel Core i7 13620H, 16GB RAM, 512GB SSD, WUXGA IPS, 15.3&amp;quot;/38.8cm, Win 11, Office 2024, Top Metal Cover Grey, 1.6Kg, 83K100CJIN/S1IN, Backlit KB, Laptop"/>
        <s v="Certified Latitude 7420 Business Laptop â€“ Core i5-1145G7, 16GB RAM, 512GB SSD, 14â€ Full HD, Win 11 Pro"/>
        <s v="ASUS Zenbook 14 (2026),Smartchoice,Intel Core Ultra 9 285H,32GB RAM,1TB SSD,OLED,Touchscreen,14&amp;quot;(35.5 cm),Win 11,M365 Basic(1Y)* Office 24,Foggy Silver,1.28 Kg,UX3405CA-QL1113WS,Thin &amp;amp; Light Laptop"/>
        <s v="Acer Smartchoice Aspire One, AMD Ryzen 3-7320U, Office 2024 + M365 Basic, 8GB LPDDR5 RAM/ 256GB SSD, 14.0&amp;quot;/35.56cm TN HD Display, Win 11 Home, Pure Silver, 1.48KG, A114-43, Thin and Light Laptop"/>
        <s v="Lenovo LOQ 13th Gen Intel Core i7-13650HX 15.6&amp;quot; (39.6cm) 144Hz 300Nits FHD Gaming Laptop (16GB/512GB SSD/Win 11/NVIDIA RTX 4050 6GB/1Yr ADP Free/MSO 24/Grey/2.3Kg), 83DV01A5IN"/>
        <s v="Apple 2026 MacBook Neo 13&amp;quot; Laptop with A18 Pro chip: Built for AI and Apple Intelligence, Liquid Retina Display, 8GB Unified Memory, 512GB SSD Storage, 1080p FaceTime HD Camera, Touch ID; Blush"/>
        <s v="HP 15 Smartchoice, 13th Gen Intel Core i3-1315U (12GB DDR4, 512GB SSD) FHD, Anti-Glare, Micro-Edge, 15.6&amp;#x27;&amp;#x27;/39.6cm, Win11, M365(1yr)*Office24, Silver, 1.59kg, fd0573TU, FHD Camera w/Shutter Laptop"/>
        <s v="HP Professional 15 (2026), Intel (i3 14th Gen) Core 3 100U - (8 GB/512 GB SSD/Intel UHD Graphics/Windows 11 Pro) Thin &amp;amp; Light Business Laptop/15.6&amp;quot; Display/Turbo Silver/Copilot Key/1.5kg/MS Office"/>
        <s v="Lenovo V15 G4 AMD Athlon Silver 7120U Laptop 8GB LPDDR5 Ram, 512 GB SSD PCIe, Windows 11/MS Office,15.6&amp;quot; FHD Screen, AMD Radeon 610M, Silver, 1 Year Brand Warranty"/>
        <s v="HP Omnibook 3, Snapdragon X Processor, 45 TOPS (16GB LPDDR5x, 512GB SSD) 2K, WUXGA, IPS, 14&amp;#x27;&amp;#x27;/35.6cm, Win 11, Office 24, Silver, 1.4kg, hz0026QU, FHD IR Camera, 42% Lighter mini GaN Charger, AI Laptop"/>
        <s v="acer Aspire Lite, AMD Ryzen 3 5300U Processor, 16 GB RAM, 512GB SSD, Full HD, 15.6&amp;quot;/39.62cm, Windows 11 Home, Steel Gray, 1.59KG, AL15-41, Metal Body, Premium Thin and Light Laptop"/>
        <s v="HP Professional 14 (2026) â€“ Intel Core 5 120U (14th Gen), 16GB RAM, 512GB SSD, Windows 11 Pro, MSO 2024, Copilot Key, Fingerprint Reader, Intel Iris Xe Graphics, 14â€³ FHD Display, 1.53Kg â€“ Turbo Silver"/>
        <s v="ASUS Vivobook 15, Thin &amp;amp; Light Laptop,(i5 14th Gen) Intel Core 5 120U (16GB/512GB SSD/Intel Graphics/ 15.6&amp;quot; FHD/Windows 11 H/Office 2024+M365 Basic(1-Year)/Backlit KB/Terra Cotta), X1504VAP-BQ1543WS"/>
        <s v="Lenovo Yoga Slim 7 Intel Core Ultra 7 155H 14&amp;quot;(35.5cm) WUXGA-OLED 400Nits Laptop (32GB RAM/1TB SSD/AI PC/2Wx4 Speakers/Windows 11/Office Home 2024/1Yr ADP Free/Grey/1.39Kg), 83CV00D3IN"/>
        <s v="HP 15, Intel Core Ultra 5 125H (16GB DDR5, 1TB SSD) FHD, IPS, 15.6&amp;#x27;&amp;#x27;/39.6cm, Win11, M365 Basic(1yr)*Office24, Silver, 1.65kg, fd1354TU, Intel Arc Graphics, FHD Camera w/Shutter, AI Powered Laptop"/>
        <s v="acer Aspire 14, 13th Gen, Intel Core i7-13620H Processors, 16 GB RAM, 512 GB SSD, Full HD IPS, 14&amp;quot;/35.56 cm, Windows 11 Home, MSO, Pure Silver, 1.44 kg, AS14H-53, Backlit KB, Thin and Light Laptop"/>
        <s v="HP Professional 15 (2026), Intel (i3 14th Gen) Core 3 100U - (16 GB/512 GB SSD/Intel UHD Graphics/Windows 11 Home) Thin &amp;amp; Light Business Laptop/15.6&amp;quot; Display/Turbo Silver/Copilot Key/1.5kg/MS Office"/>
        <s v="ð—›ð—£ð—£ð—¿ð—¼ð—¯ð—¼ð—¼ð—¸Model 430 G3 Business Laptop | InteI i5 6th Gen | 8GB RAM | 256GB SSD | WiFi | Webcam | Win10 Pro | Pre Owned &amp;amp; Professionally Tested | Excellent Condition"/>
        <s v="ASUS TUF F16, 14th Gen,Intel Core i7 14650HX,RTX 5060-8GB,16GB,1TB,FHD+,16&amp;quot;,165Hz,90WHrs,Windows 11,M365 Basic (1Year)*,Office 2024,Jaeger Gray,2.2 Kg, FX608JMR-RV049WS, Gaming Laptop"/>
        <s v="Lenovo IdeaPad Slim 3 13th Gen Intel Core i3-1315U 15.6 inch (39.6cm) FHD Laptop (8GB RAM/512GB SSD/Windows 11/Office 2024/Backlit Keyboard/1Yr ADP Free/3 Month Game Pass/Grey/1.6Kg), 82X700FXIN"/>
        <s v="Dell Inspiron 5440 Notebook Computer, Intel Core 3 100U 14th Gen Processor, 8GB DDR5 RAM, 512GB SSD, 14&amp;quot; FHD+ Screen, Ubuntu, 1Yr Warranty, Ice Blue"/>
        <s v="Dell G Series, 13th Gen Intel Core i5-13450HX, NVIDIA RTX 3050-6GB, 16GB DDR5, 512GB SSD, FHD, 15.6&amp;quot;/39.62cm, Windows 11, Microsoft Office Home 2024, 2.65KG, G15-5530, Backlit Keyboard, Gaming Laptop"/>
        <s v="acer Aspire 3, Intel Pentium N6000, 12GB LPDDR4X RAM, 512GB SSD, HD, 15.6&amp;quot;/39.62cm, Windows 11 Home, Pure Silver, 1.5KG, A325-45, Thin and Light Laptop"/>
        <s v="HP 15 Laptop, AMD Ryzen 5 7520U (16GB DDR5,512GB SSD) Win11,M365 Basic(1yr)*Office Home24, Anti-Glare,15.6&amp;#x27;&amp;#x27;/39.6cm,FHD,Backlit KB,FHD Camera w/Privacy Shutter,Radeon Graphics, Silver,1.59kg FC0690AU"/>
        <s v="HP 15, 13th Gen Intel Core i3-1315U (8GB DDR4, 512GB SSD), FHD, Micro -Edge, Anti-Glare, 15.6&amp;#x27;&amp;#x27;/39.6cm, Win11, M365* Office24, Silver, 1.59kg, fd0624tu, FHD Camera, UHD Graphics Laptop"/>
        <s v="Alienware 16 Area-51 Gaming Laptop, AI Enabled Core Ultra 9 275HX Proc, 32GB DDR5, 1TB SSD, RTX 5070Ti 12GB GDDR7 Graphics, 16.0&amp;quot; WQXGA 240Hz 500 nits Display, Liquid Teal Color, Win 11 + MSO&amp;#x27;24,3.4kg"/>
        <s v="HP 15, Intel Core 5 120U (14th Gen) 16GB DDR4, 512GB SSD, FHD, Anti-Glare, Micro-Edge, 15.6&amp;#x27;&amp;#x27;/39.6cm, Win11, M365 Basic(1yr), Office24, Silver,1.59kg, FD0640TU/682tu, FHD Camera w/Shutter, BL Laptop"/>
        <s v="Wireless Bluetooth Headphones with Deep Bass Sound, Foldable Design, Comfortable Cushioned Earpads, Built-in Mic for Music &amp;amp; Calls, Average Battery(1-3 Hours) Backup, Stylish Everyday Use"/>
        <s v="Sony WH-CH520 Wireless Bluetooth Headphones On Ear with Mic, Up to 50Hrs Battery-Pink"/>
        <s v="pTron Studio w/ 60Hrs Playtime, Wireless Over-Ear Headphones with HD Mic, Dual-Device Pairing, Immersive Sound, 40mm Drivers, BT5.4, 3.5mm Aux Port, TF Card Slot &amp;amp; Type-C Fast Charging (Beige)"/>
        <s v="Sony MDR-ZX110A On Ear Stereo Wired Headphones (White), Without Mic"/>
        <s v="ZEBRONICS Thunder (2026 Upgrade) Wireless Headphones, BT v6.0, True 60 hrs Playback, 40mm Drivers, ENC, Gaming Mode, Dual Pairing, AUX &amp;amp; microSD, Rapid Charging, Call Function (Teal Green)"/>
        <s v="boAt Rockerz 480, RGB LEDs,6 Light Modes, 40mm Drivers,Beast Mode, 60H Battery, ENx Tech, Stream Ad Free Music via App Support, Bluetooth Headphones, Wireless Over Ear Headphone with Mic (White Sabre)"/>
        <s v="Sony ULT Wear WH-ULT900N Noise Cancellation Wireless Bluetooth Over Ear Headphones with Massive Bass, Up to 50Hrs Battery-Black"/>
        <s v="Boat Rockerz 421, 60H Battery, Low Latency(40Ms), 40Mm Drivers, ENx Tech, Stream Ad Free Music via App Support, Bluetooth Headphones, Wireless Over Ear Headphone with Mic (Bold Blue)"/>
        <s v="ZEBRONICS Bro 3.5Mm Wired in Ear Earphones, in-Line Mic, Deep Bass, 1.2M Strong and Long Lasting Cable, Light Weight, Compatible with Mobile | Tablet | Laptop (Blue)"/>
        <s v="Sony WH-CH720N Active Noise Cancellation Wireless Bluetooth Over Ear Headphones with Mic, Adaptive Sound Control, Quick Charge, Up to 35Hrs Battery, Customized EQ- Blue : Model : YY2966"/>
        <s v="Boat Rockerz 411, 40Ms Low Latency, 40Hrs Battery, 40Mm Drivers, ENx Tech, Stream Ad Free Music via App Support, Bluetooth Headphones, Wireless Over Ear Headphone with Mic (Active Black)"/>
        <s v="pTron Studio Evo 70hrs Playtime Wireless Over Ear Headphones w/HD Mic, Dual Device Pairing, Low-Latency Game/Movie/Music Modes, Punchy Bass, BT5.3, Voice Assistant &amp;amp; Type-C Fast Charging (Beige)"/>
        <s v="JBL Tune 770NC Wireless Over Ear ANC Headphones with Mic, Upto 70 Hrs Battery, Speed Charge : 5 min Charge Gives up to 3H of Playback, Customized EQ, Google Fast Pair, Dual Pairing, BT 5.3 (Black)"/>
        <s v="Boat Rockerz 512 ANC,(~40dB) Hybrid ANC, 80H Battery, 40mm Drivers, 40ms Low Latency, ENx Tech,Stream Ad Free Music via App Support, Bluetooth Headphones, Wireless Headphone with Mic (Cosmic Black)"/>
        <s v="ZEBRONICS Storm Wired On Ear Headphone with 3.5mm Jack, Built-in Microphone for Calling,1.5 Meter Cable, Soft Ear Cushion, Adjustable Headband,Foldable Ear Cups (Black)"/>
        <s v="Noise Airwave Max 4 Wireless Over Ear Headphones with 70H Playtime, ENC, 40mm Driver, Low Latency(up to 40ms), Dual Pairing, BT v5.4 (Calm Beige)"/>
        <s v="Noise Two Wireless On Ear Headphones with 50 Hours Playtime, Low Latency(up to 45ms), 4 Play Modes, Dual Pairing, BT v5.3 (Bold Black)"/>
        <s v="Boat Rockerz 650 Pro, Touch/Swipe Controls, Dolby Audio, 80Hrs Battery, 2Mics ENx, Fast Charge, App Support, Dual Pair, Bluetooth Over Ear Headphones with Mic (Sage Green)"/>
        <s v="Logitech H111 Wired On Ear Headphones With Mic Black"/>
        <s v="Boat BassHeads 100 in-Ear Headphones with Mic (Black)"/>
        <s v="Boat Bassheads 211 Wired Earphones with 10mm Drivers, Signature Sound, in-Line Microphone, 3.5mm Jack, Voice Assistant &amp;amp; 120cm Cables (Raging Black)"/>
        <s v="Boat Rockerz Plus 550, Customizable Earcups, 100H Battery, 50mm Drivers, Dual Pair, Stream Ad Free Music via App Support, Bluetooth Headphones, Wireless Headphone with Mic (Black Psyche)"/>
        <s v="Marshall Major IV Wireless Bluetooth On Ear Headphone with Mic (Black)"/>
        <s v="boAt Bassheads 900 On Ear Wired Headphone With Mic"/>
        <s v="GOBOULT X Mustang Q Over Ear Bluetooth Headphones 70H Playtime, 40mm Bass Drivers, Zen ENC Mic, Type-C Fast Charging, 4 EQ Mode, Bluetooth 5.4, AUX Option, IPX5 Wireless Headphones"/>
        <s v="GOBOULT Fluid X 60Hrs Playtime, 40mm Boosted Drivers, Foldable Design, ENC Mic, 5.4v Bluetooth &amp;amp; Wired Headset (Electric Black, On the Ear)"/>
        <s v="JBL C100SI Wired In Ear Headphones with Mic, JBL Pure Bass Sound, One Button Multi-function Remote, Premium Metallic Finish, Angled Buds for Comfort fit (Red)"/>
        <s v="Razer BlackShark V2 X Smartchoice Wired Gaming Headset with Mic, 7.1 Surround Sound, 50mm Drivers, Memory Foam Cushions, Multi-Platform (PC/PS/Xbox/Switch/Mobile), 3.5mm Jack_Black"/>
        <s v="HyperX Cloud II â€“ Wired Gaming Headset for PC, PS5 / PS4. Active Noise Cancellation, Over Ear, circumaural, Closed Back, HyperX Virtual 7.1 Surround Sound - Black-Red (4P5M0AA)"/>
        <s v="Spigen Audio Newly Launched SA-HP P10 Wireless Over Ear Headphones with 60H Playtime, Upto 43dB Multi-Mode Adaptive ANC Pro, EQ Customizing App, 5-MIC, Gaming Mode, 40mm Driver - Black"/>
        <s v="boAt Rockerz Trendz, 40mm Drivers, 50hrs Battery, 60ms Low Latency, ENx Tech, BT v5.4, Foldable Cups, Voice Assistant, Bluetooth Headphones, Wireless Headphone with Mic - Bold Blue"/>
        <s v="M.G.R.JÂ® Portable Carrying Case Cover for Boat Rockerz 450 Bluetooth On Ear Headphones (Hard|EVA|Black)"/>
        <s v="Portronics Muffs M6 Over Ear Wireless Bluetooth Headphone with Upto 40 Hours Playtime, Dual Pairing, 40mm Driver, HD Mic, Bluetooth 5.4V, Foldable Design, Type C Fast Charging (Black)"/>
        <s v="Sony MDR-7506 Professional Wired On Ear Headphones (Best Compatible with Professional Cinema Line Camera) - Black"/>
        <s v="Noise Airwave Max 6 Wireless Bluetooth Headphones (2026 Launch), Hi-Res LDAC Audio, Adaptive ANC 45dB, 120H Battery, Low Latency 80ms, Deep Bass, Over-Ear Noise Cancelling Headphones (Forest Green)"/>
        <s v="HP Wired On Ear Headphones with Mic with 3.5 Mm Drivers, in-Built Noise Cancelling, Foldable and Adjustable for Laptop/Pc/Office/Home/ 1 Year Warranty (B4B09PA)"/>
        <s v="Sony ZX Series MDR-ZX310AP Wired Headband Stereo On Ear Headset -Blue"/>
        <s v="Zebronics Wireless Headphones, Hybrid ANC 48dB, Upto 100Hrs Playback, 40mm Drivers, Dual Mic ENC, BT v6.0, Gaming Mode, Dual Pairing, Touch Controls, App Support, AUX (Silencio 200T, Blue)"/>
        <s v="Apple AirPods 4 Wireless Earbuds, Bluetooth Headphones, Personalised Spatial Audio, Sweat and Water Resistant, USB-C Charging Case, H2 Chip, Up to 30 Hours of Battery Life, Effortless Setup for iPhone"/>
        <s v="JBL Live 770NC True Adaptive Noise Cancellation Headphones Wireless Over Ear, Spatial Sound, 65Hrs Playtime, Speed Charge, Multipoint Connect &amp;amp; Personi-Fi 2.0, Customized EQ, Google Fast Pair, Blue"/>
        <s v="ZEBRONICS Duke Plus (2026 Upgrade) Wireless Headphones, BT v5.4, Upto 70hrs Playback, 40mm Drivers, Gaming Mode, ENC, Dual Pairing, Rapid Charge, AUX, 3 EQ Modes (Black)"/>
        <s v="Sounce Portable Carrying Case Cover for Boult Newly Launched Q Over-Ear Bluetooth Headphones | Hard EVA Travel Storage Case with Shockproof, Waterproof, andPremium Protective Cover â€“ Black"/>
        <s v="OnePlus Bullets Wireless Z3 in-Ear Neckband with 12.4mm Drivers, 3D Spatial Audio,10 mins Charge for 27 hrs Playback, 4 EQ preset, Dynamic bass Enhancement &amp;amp; BT5.4"/>
        <s v="pTron Tangent Rush w/ 50Hrs Playtime, Pristine Sound, Dual-Device Pairing, Bluetooth 5.4 Wireless in-Ear Earphones with Mic, Voice Assistant, Type-C Fast Charging &amp;amp; IPX5 Water Resistant (Ink Blue)"/>
        <s v="Boat Rockerz 551ANC, 100HRS Battery, Hybrid ANC(~35Db), Fast Charge, Ambient Sound Mode &amp;amp; Dual EQ Modes, Enx Tech, Bluetooth Headphones, Over Ear Wireless Headphone with Mic (Sage Green)"/>
        <s v="Noise Newly Launched Airwave Max XR Wireless Over-Ear Headphones with 120H Playtime, ANC, HFA Tech, Spatial Audio, Dual Pairing,BT V6.0(Pearl Beige)"/>
        <s v="Bouncefit D20 Y68 Fitness Band Smart Watch for Men, Women, Boys, Girls, Kids â€“ Single Touch Interface, Water Resistant, Workout Modes, Quick Charge Sports Smartwatch â€“ Jet Black"/>
        <s v="Fastrack Limitless Glide X 1.83&amp;quot; Smart Watch with Ultra UV HD Display, SpO2, Heart Rate &amp;amp; Sleep Tracking, Bluetooth Calling, 100+ Sports Modes, 5-Day Battery, Smartwatch for Men &amp;amp; Women (Black)"/>
        <s v="Bouncefit M I D116 Fitness Band Smart Watch for Men, Women, Boys, Girls, Kids â€“ Single Touch Interface, Water Resistant, Workout Modes, Quick Charge Sports Smartwatch â€“ Black I"/>
        <s v="Fire-Boltt Phoenix Pro Round Smart Watch 1.39â€³ HD Display with Bluetooth Calling, AI Voice Assistant, SpO2 &amp;amp; Heart Rate Monitor, 120+ Sports Modes, IP67 Waterproof Smartwatch for Men &amp;amp; Women - Brown"/>
        <s v="Fire-Boltt Ninja X Ring Smart Watch with 1.96â€ Large Display, Bluetooth Calling, Wireless Charging, AI Voice Assistant, 500+ Watch Faces, Health Suite, Smart Watch for Man &amp;amp; Woman â€“ Blue S"/>
        <s v="Noise Twist Go Round dial Smartwatch with BT Calling, 1.39&amp;quot; Display, Metal Build, 100+ Watch Faces, IP68, Sleep Tracking, 100+ Sports Modes, 24/7 Heart Rate Monitoring (Jet Black)"/>
        <s v="Boat Wave Call 3 Smartwatch 1.83â€ HD Display with Animated Watch Faces; BT Calling, Functional Crown, Multiple Sports Modes, IP68, HR, SpO2 Monitor, Smart Watches for Men &amp;amp; Women (Spring Blossom)"/>
        <s v="Fire-Boltt Ninja Call Pro Bluetooth Calling Smart Watch, 1.69â€³ HD Display,Dual Chip,AI Voice Assistant, 120+ Sports Modes, SpO2 &amp;amp; Heart Rate Monitor, Fitness Tracker Smartwatch for Men &amp;amp; Women - Black"/>
        <s v="Fastrack Limitless Glide X 1.83&amp;quot; Smart Watch with Ultra UV HD Display, SpO2, Heart Rate &amp;amp; Sleep Tracking, Bluetooth Calling, 100+ Sports Modes, 5-Day Battery, Smartwatch for Men &amp;amp; Women (Blue)"/>
        <s v="Noise Pulse 2 Max 1.85&amp;quot; Display, Bluetooth Calling Smart Watch, 10 Days Battery, 550 NITS Brightness, Smart DND, 100 Sports Modes, Smartwatch for Men and Women (Deep Wine)"/>
        <s v="Fire-Boltt Talk Round Smart Watch 1.39â€³ TFT Display with Bluetooth Calling, Dual Button, Voice Assistance, SPOâ‚‚ &amp;amp; Heart Rate Monitor, 120+ Sports Modes, Smartwatch for Men &amp;amp; Women - Green"/>
        <s v="Boat Lunar Discovery w/ 1.39&amp;quot; (3.5 cm) HD Display, Turn-by-Turn Navigation, DIY Watch Face Studio, Bluetooth Calling, Emergency SOS, QR Tray, Smart Watch for Men &amp;amp; Women(Active Black)"/>
        <s v="MARVIK Smart Watch for Kids, Men, Boys, Girls, and Women, D20 Plus 2025, Latest for Android and iOS Phones, IP68 Waterproof with Daily Activity Tracker, Heart Rate Sensor, Sleep Monitor Watch - Black"/>
        <s v="T800 Ultra Smart Watch, Orange Ocean Band, 1.99 Inch Display, Wireless Charging"/>
        <s v="Samsung Galaxy Watch8 (44mm, LTE, Graphite) with 3nm Processor | Dual GPS | Sapphire Glass &amp;amp; Armor Aluminum | 5ATM &amp;amp; IP68 | BP, ECG, IHRN &amp;amp; Vascular Load Monitoring | Anti-oxidant Index"/>
        <s v="Fireâ€‘Boltt Rise Smart Watch 1.85â€³ HD Display with Bluetooth Calling, AI Voice Assistant, Rotating Crown,SpO2 &amp;amp; Heart Rate Monitor, 120+ Sports Modes,IP67 Waterproof Smart Watch for Men &amp;amp; Women - Black"/>
        <s v="OnePlus Watch 2 with Wear OS 4,Snapdragon W5 Chipset,Upto 100hrs battery life,1.43â€™â€™ AMOLED Display, Stainless Steel &amp;amp; Sapphire Crystal build,Dual Frequency GPS, 5 ATM, IP68 &amp;amp; BT Calling (Black Steel)"/>
        <s v="Redmi Move Smartwatch | 1.85&amp;quot; AMOLED (390Ã—450, 600 nits) | Bluetooth Calling | 140+ Sports | 24Ã—7 HR &amp;amp; SPOâ‚‚ | AOD | Up to 14-Day Battery | HyperOS (Blue Blaze Strap)"/>
        <s v="Redmi Watch 5 Lite, 1.96&amp;quot; Amoled, Advanced in-Built GPS, 5 ATM, 18 Day Battery, Bluetooth Calling with AI Noise Reduction, Always on Display, Light Gold"/>
        <s v="Fastrack Astor FR2 Pro 1.43&amp;quot; AMOLED Stainless Steel Smart Watch with SpO2, Heart Rate, BT Calling, Adaptive AOD, Functional Crown, AI Voice Assistant â€“ Smartwatch for Stylish Professionals (Black)"/>
        <s v="Bouncefit M I D116 Fitness Band Smart Watch for Men, Women, Boys, Girls, Kids â€“ Single Touch Interface, Water Resistant, Workout Modes,Quick Charge Sports Smartwatch â€“ Black I"/>
        <s v="CrossBeats Armour Pro AI Premium Smart Watch for man | Latest 1.43â€ AMOLED Always on Display | 5 ATM Waterproof | 30-Day Battery |GPS BT Calling Smartwatch |150+ Sports Modes| BP HR SPO2 (Black)"/>
        <s v="Boat Lunar Discovery Neo, 1.39&amp;quot; (3.5 cm) Round HD Display, Premium Metallic Finish, Animated Watchfaces, 100+ Sports Mode, Bluetooth Calling, Smart Watch for Men &amp;amp; Women (Active Black)"/>
        <s v="Noise ColorFit Pulse 3 with 1.96&amp;quot; Biggest Display Bluetooth Calling Smart Watch, Premium Build, Auto Sport Detection &amp;amp; 170+ Watch Faces Smartwatch for Men &amp;amp; Women - Midnight Black"/>
        <s v="T800 Ultra Smart Watch with Touch Display â€“ Bluetooth Calling Smartwatch | Health &amp;amp; Fitness Tracker with Sports Modes | Compatible with Android &amp;amp; iOS | Black Strap"/>
        <s v="Fire-Boltt Legacy Luxury Round Smart Watch 1.43â€³ Super AMOLED,Bluetooth Calling,Wireless Charging,Voice Assistant,SpOâ‚‚ &amp;amp; Heart Rate Monitor,110+ Sports Modes, Metal Smart Watch for Men &amp;amp; Women - Black"/>
        <s v="Fastrack New Limitless X2 Smart Watch, 1.91&amp;quot; UltraVU with Rotating Crown, 60 Hz Refresh Rate, Advanced Chipset, SingleSync BT Calling, 100+ Sports Mode &amp;amp; Smartwatch Faces, IP68, (Black)"/>
        <s v="Boat Storm Call 3 w/TBT Navigation, Daily Activity Tracker, DIY Watch Face Studio,700+ Active Modes, 1.83&amp;quot; (4.6 cm) HD Display Fitness Smart Watch for Men &amp;amp; Women(Active Black)"/>
        <s v="Fire-Boltt Axiom Round Smart Watch 1.43â€³ Super AMOLED Display with Alwaysâ€‘On Mode, Bluetooth Calling, Rotating Crown, SPOâ‚‚ &amp;amp; Heart Rate Monitor, IP67 Waterproof Silicone Smartwatch for Men - White"/>
        <s v="Fire-Boltt Phoenix Pro Round Smart Watch 1.39â€³ HD Display with Bluetooth Calling, AI Voice Assistant, SpO2 &amp;amp; Heart Rate Monitor, 120+ Sports Modes, IP67 Waterproof Smartwatch for Men &amp;amp; Women - Black"/>
        <s v="GameSir H18 Pro Smartwatch with Long Battery Life, 2.01&amp;quot; High-Resolution Screen, Bluetooth Calling, IP68 Waterproof, TFT Display, Luxury Design for Men &amp;amp; Women (Grey)"/>
        <s v="MARVIK Smart Watch for Kids, Men, Boys, Girls, and Women, ID116 Plus 2025, Latest for Android and iOS Phones, IP68 Waterproof with Daily Activity Tracker, Heart Rate Sensor, Sleep Monitor - Black"/>
        <s v="Huawei Watch GT 5 46mm Smartwatch, Up to 14 Days Battery Life, iOS &amp;amp; Android Compatible,Built in Maps, Pro-Level Sports Call&amp;amp;Message Reply,(Black, 46mm)"/>
        <s v="Fastrack Jupitor R2 Smart Watch, 1.38â€ TFT Display, 240 * 240 Pixel Resolution, SingleSync BT Calling, AI Voice Assistant, 100+ Sports Modes &amp;amp; Smartwatch Faces,Upto 5 Day Battery, IP68 (Black)"/>
        <s v="Fire-Boltt Ninja Call Pro Max Ultra Bluetooth Calling Smart Watch, 2.01â€HD Display, AI Outfit Watch Face, 2 Looks in 1 Watch, Extra Straps at â‚¹99, 120+ Sports Modes, Smartwatch for Men &amp;amp; Women (Black)"/>
        <s v="Garmin Forerunner 965 GPS Triathlon Smartwatch,Amoled Touchscreen, Battery Upto 23 Days, HRV Status, Advanced Sleep Score, Track Running, Cross Training, Vo2 Max, ClimbPro, Load Ratio with Black Band"/>
        <s v="GOBOULT Newly Launched Mustang Stallion Smart Watch 1.43&amp;#x27;&amp;#x27; AMOLED Display, Rotating Bezel, BT Calling, 200+Watchfaces, 700 Nits Brightness, AI Voice Assistant, SpO2 Monitoring (Turbo Orange)"/>
        <s v="Boat Ultima Aeris 1.43&amp;quot; AMOLED Display, 1000 nits Brightness, Ultra Slim 8mm Metal Build, IP68, Auto HR &amp;amp; SpO2 Monitoring, Sleep &amp;amp; Stress Tracking, Stylish Smartwatch for Men &amp;amp; Women(Tan Brown)"/>
        <s v="Fire-Boltt Phoenix Air Smart Watch 1.26â€ Round Display, Rotating Button, Wireless Charging, Ultra Lightweight Metal Body, Bluetooth Calling, Smartwatch with Silicone &amp;amp; Mesh Steel Straps Cloud White"/>
        <s v="Titan Crest 1.43â€ AMOLED Smart Watch with BT Calling, AI Morning Briefs, Functional Crown, Health Tracking, Aluminium Body, 100+ Sports Modes, Smartwatch for Men and Women - Black Silicone Strap"/>
        <s v="Fastrack Limitless FS2 Pro 1.96&amp;quot; AMOLED Smart Watch with BT Calling, AI Voice Assistant, 100+ Sports Modes, 5-Day Battery, Fast Charge, Health Tracking, â€“ Smartwatch for Men &amp;amp; Women (Beige)"/>
        <s v="Amazfit GTR 3 Pro (Smartchoice) 46mm Smart Watch with BT Phone Calls, BP Monitoring, 1.45â€AMOLED Display, 24/7 HR Tracking, Alexa, GPS, WiFi, 12-Day Battery Life,150 Sports Modes(Infinite Black)"/>
        <s v="Boat Storm Infinity w/15 Days Extensive Battery Life, Only Charge Twice a Month, Huge 550mAh Battery, Fast Charge, 1.83â€(4.65cm) Display, Fitness Tracker, Smart Watch for Men &amp;amp; Women (Active Black)"/>
        <s v="Punnk FunnkÂ® Q18 Present Smart Kids LBS Location Tracking Watch with Voice Calling, SOS, Remote Monitoring, Camera, Geo-Fencing Function (Ocean Green)"/>
        <s v="Redmi Watch 5 Active, 2&amp;quot; Display, Metal Body, 18 Day Battery, Bluetooth Calling, Advanced AI Noise Cancellation, Alexa, Matte Silver (M2351W1)"/>
        <s v="Noise Junior Explorer 2 Smart Watch for Kids with 4G SIM Compatible, 2-Way Video &amp;amp; Voice Calling, Geofencing, Real Time Location Monitoring via Google Maps, IP68, SOS Emergency Alerts (Power Pixel)"/>
        <s v="Titan Evolution Smartwatch Comes with 1.85â€ AMOLED Display with 390 * 450 Pixel Resolution|SingleSync BT Calling|AI Voice Assistant|100+ Sports Modes and Watchfaces|Upto 7 Day Battery|IP68"/>
        <s v="Noise Icon 5 Smartwatch with AI Watch Faces &amp;amp; AI Search, 1.95â€ AMOLED Display, 10 Days Battery, Bluetooth Calling, 100+ Sports Modes, IP68 (Starlight Gold)"/>
        <s v="OnePlus Pad Lite with Biggest Battery in Segment 9340 mAh, 11&amp;quot;(27.94 cm) Display with 500 nits Brightness &amp;amp; 11 Hrs of Video Playback, 6GB RAM 128GB Storage, WiFi, Aero Blue"/>
        <s v="Redmi Pad 2 Wi-Fi + Cellular, Active Pen Support, 27.94cm(11&amp;quot;) Model, 2.5K Sharp &amp;amp; Clear Display, 6GB, 128GB, All Day &amp;amp; More 9000mAh Battery, AI-Enabled, Dolby Atmos, HyperOS 2, Sky Blue"/>
        <s v="DOMO Slate SL39 10.1-Inch 4G Tablet PC, inbuilt Storage, 4GB RAM + 32GB,1TB Expandable, Dual SIM Slot, Octa Core CPU, Bluetooth, GPS (Green)"/>
        <s v="Lenovo Tab (Smartchoice)| 10.1 Inch Display| Wi-Fi Only| 4GB RAM + 128GB ROM (Expandable up to 1 TB)| Metal Body| Dual Speakers with Dolby Atmos| Android 14| Color: Polar Blue"/>
        <s v="Redmi Pad 2 Wi-Fi, Active Pen Support, 27.94cm(11&amp;quot;) Model, 2.5K Sharp &amp;amp; Clear Display, 8GB, 128GB, All Day &amp;amp; More 9000mAh Battery, AI-Enabled, Dolby Atmos, HyperOS 2, Graphite Grey"/>
        <s v="IWEGGO 15 Android Tablet, 10 18GB RAM + 128GB ROM/2TB Expandable Tablet, 2.0GHz Quad-Core Processor, 1280x800 HD Touchscreen, 5G WiFi6 BT5.0, 2-in-1 Tablets with (Navy Blue)"/>
        <s v="Lenovo Tab M8 FHD (8 inch(20cm), 4 GB, 64 GB, Wi-Fi+LTE, Calling), Grey with Camera Flash"/>
        <s v="CUPEISI Android 13 Tablet 10 inch 12GB RAM+128GB ROM/1TB Expandable Tablet, Bluetooth, Wi-Fi, 2024 Newest 2 in 1 Tablets with Keyboard Case, Mouse Capacitive Pen, 2.0 Quad Core CPU"/>
        <s v="OnePlus Pad Go 2, 30.73 cm (12.1 inch) 2.8K Display, Dolby Visionâ„¢, 120Hz Refresh Rate, Quad Speakers, AI, 10050 mAh Battery, 5G Tablet, 8GB RAM 256 GB Storage, Shadow Black"/>
        <s v="Samsung Galaxy Tab S10 Lite with AI [Smartchoice], S Pen in-Box, 27.7 cm (10.9 Inch) Display, Object Eraser, 90Hz Refresh Rate, IP42 Rating, 6GB RAM, 128GB Storage, Wi-Fi + 5G Tablet, Silver"/>
        <s v="IKALL N11 Pro Tablet - 7inch Display, 2GB RAM &amp;amp; 16GB ROM, 3000mAh Battery, Wi-Fi, Android 8.0, 2MP Rear Camera (Black)"/>
        <s v="IKALL N11 Tablet â€“ 7 inch HD Display, Android 8.0, Quad-Core Processor, 2GB RAM, 16GB Storage &amp;amp; 3000mAh Battery - Black"/>
        <s v="IKALL N11 Pro 7â€ Android Tablet â€“ 2GB RAM, 16GB Storage (Expandable), WiFi Enabled | 3000mAh Battery | Dual Camera | Compact &amp;amp; Lightweight Tablet for Entertainment &amp;amp; Learning (Black)"/>
        <s v="Samsung Galaxy Tab A11+ [Smartchoice], 27.82 cm (11 inch) Display, 6 GB RAM, 128 GB Storage, 90Hz Refresh Rate, AI with Google Gemini, Dolby Atmos, Quad Speakers, Wi-Fi Tablet, Gray"/>
        <s v="Apple iPad Air 27.59 cm (11â€³) (M4): Liquid Retina Display, 128 GB, 12MP Front/Back Camera, Wi-Fi 7 with Apple N1, Touch ID, All-Day Battery Life â€” Purple"/>
        <s v="Lenovo Idea Tab Plus with Pen |Wifi +5G |12.1&amp;quot; 2.5K Display, 800nits Peak Brightness |8GB RAM + 256GB ROM (Expandable upto 2TB)| MediaTek Dimensity 6400| 10200mAh|4 Speakers with Dolby Atmos|Luna Grey"/>
        <s v="ECOPAD Android 13 Tablet 2023 - 10 Inch With 6GB RAM, 64GB ROM, 1TB Expanded, Quad-Core, 2 in 1 With Keyboard Mouse, Wi-Fi 6, Bluetooth, GMS Certified IPS Touch Screen - Black Set"/>
        <s v="Lenovo Tab Plus with Octa JBL Hi-Fi Speakers| 8 GB RAM, 128 GB ROM| 11.5 Inch, 2K, 90 Hz Refresh| Wi-Fi Tablet| Android 14| 45 W Fast Charger| Built-in Kickstand| Color: Luna Grey"/>
        <s v="HOTTABLET Tablet 7 Inch Android 14.0 with Protective Case, 8GB (4+4GB Expand) RAM+32GB ROM, IPS Screen, Dual Camera, Bluetooth 5.0 WiFi Tab (Gray)"/>
        <s v="Lenovo Idea Tab Smartchoice with Pen|5G + Wi-Fi|11 Inch,2.5K Display, 500 Nits Brightness|8GB RAM + 256GB ROM(Expandable Up to 2 TB)|Mediatek Dimensity 6300|Android 15|4-Speakers with Dolby Atmos,Grey"/>
        <s v="Redmi Pad 2 Pro [Smartchoice] | 12000mAh | Snapdragon 7s Gen 4 | 12.1-inch,2.5K Display |83+ Days Standby |HyperOS 2 |120Hz |Dolby Vision Atmos |Wi-Fi 6 |AI Powered | 8GB, 128GB | Quick Silver"/>
        <s v="IWEGGO Android 15 Tablet, 10 inch 12GB RAM+64GB ROM+1TB Expandable, 1.8Ghz Quad-core Processor, 2 in 1 Tablets with Keyboard Case Mouse Stylus, 5G Wifi, 8MP Dual Camera, 1280*800 HD Screen Tablet Blue"/>
        <s v="Motorola Pad 60 Neo (Blue, 8 GB RAM, 128 GB ROM)"/>
        <s v="DOMO Slate SL39 10.1-Inch 4G Tablet PC, inbuilt Storage, 4GB RAM + 32GB,1TB Expandable, Dual SIM Slot, Octa Core CPU, GPS, Bluetooth (Green)"/>
        <s v="Lenovo Idea Tab Pro Gen 2 with Pen Plus | 13&amp;quot; Display, 3.5K Resolution, 144Hz Refresh | 8GB, 256GB | Snapdragon 8s Gen 4 | 10200mAh | 4 JBL Speakers| USB 3.0 with DP-Out | Wi-Fi 7 | Luna Grey"/>
        <s v="Lenovo {Smartchoice} Idea Tab Pro with Pen Plus &amp;amp; Keyboard|12.7&amp;quot; 3K Display|144 Hz Refresh|12 GB RAM, 256 GB ROM| AI-Enabled| MediaTek Dimensity 8300|4 JBL Speakers|10200 mAh Battery with 45 W Charger"/>
        <s v="XIAOMI Pad 7 Nano Texture Display [Smartchoice] | Snapdragon 7+ Gen 3| 3.2K Display (28.44 cm /11.2&amp;quot;) Tablet| 12GB, 256GB| Anti-Reflective| Anti-Glare| HyperOS 2| Dolby Vision Atmos |Sage Green"/>
        <s v="Lenovo M8 HD 2nd Gen with Wi-Fi (8 Inch, 3GB, 32 GB) [Year-2020], Grey"/>
        <s v="Baatu Enable Tablet - Parental Control Tab for Kids (10.1 inch) | Screen Time Monitor, App Blocker, Content Monitor &amp;amp; Location Tracking | 6000 mAH Battery | 4G &amp;amp; WiFi Calling | 4GB RAM, 64 GB ROM"/>
        <s v="OnePlus Pad 2 (12.1 Inch),12GB RAM, 256GB Storage Snapdragon 8 Gen 3,144Hz Refresh Rate, 6 Speakers, 3K 12.1 Display, AI Features, 9610 mAh Battery, Wi-Fi with Cellular Data Sharing [Nimbus Gray]"/>
        <s v="Lenovo Yoga Tab Plus Smartchoice AI Tablet with Pen+Keyboard |12.7&amp;quot; Display, 3K Resolution, 144 Hz|16GB RAM, 256GB ROM| Snapdragon 8 Gen 3|10200 mAh|6 Speakers| USB 3.0 with DP-Out|1Year ADP Free|Teal"/>
        <s v="OnePlus Pad 29.49Cm LCD Display, 12Gb Ram,256Gb Storage, Mediatek Dimensity 9000, Android 13.1, 144Hz Refresh Rate, Dolby Vision Atmos, Wi-Fi with Cellular Data Sharing Tablet, Green"/>
        <s v="Apple iPad 11â€³: A16 chip, 27.69 cm (11â€³) Model, Liquid Retina Display, 128GB, Wi-Fi 6, 12MP Front/12MP Back Camera, Touch ID, All-Day Battery Life â€” Silver"/>
        <s v="OnePlus Pad 4, SnapdragonÂ® 8 Elite Gen 5 Platform, 33.53cm 13.2&amp;quot; 3.4K Screen, 144Hz Adaptive, 8 Speakers, AI Powered, PC-Level Productivity, 13,380 mAh Battery, 12GB + 512GB, WiFi,Dune Glow"/>
        <s v="DOMO Slate SL39 10.1-Inch 4G Tablet PC, inbuilt Storage, 4GB RAM + 32GB,1TB Expandable, Dual SIM Slot, Bluetooth, Octa Core CPU, GPS, (Green)"/>
        <s v="OnePlus Pad 4, SnapdragonÂ® 8 Elite Gen 5 Platform, 33.53cm 13.2&amp;quot; 3.4K Screen, 144Hz Adaptive, 8 Speakers, AI Powered, PC-Level Productivity, 13,380 mAh Battery, 8GB + 256GB, WiFi,Sage Mist"/>
        <s v="Acer Iconia 5G Tablet|11.45&amp;quot; 2.2kâ€90Hz IPS Display, MediaTek 8791 Processor, 8GB RAM + 128GB Storage, 16MP Rear+8MP Front Camera,Wi-Fi + 5G Volte, Android 15,BT 5.2, Slim Metal Body,Silver"/>
        <s v="Lenovo {Smartchoice} Idea Tab Pro with Pen Plus|12.7&amp;quot; 3K Display|144 Hz Refresh|12 GB RAM, 256 GB ROM| AI-Enabled| MediaTek Dimensity 8300|Quad JBL Speakers|10200 mAh Battery with 45 W Charger|WiFi 6e"/>
        <s v="Motorola Pad 60 Neo (Pantone Bronze Green, 8GB RAM, 128GB Storage)"/>
        <s v="IKALL N16 Pro Smart Tablet â€“ 8 Inch HD Display, Octa Core Processor, 4GB RAM + 32GB ROM, Android 12, 4G Voice Calling, Long-Lasting 5000mAh Battery (Blue)"/>
        <s v="DOMO Slate SL39 4G Tablet 10.1 inch, 4GB RAM + 32GB ROM, 4G Connectivity, inbuilt Storage, 1TB Expandable, Dual SIM Slot, Bluetooth Octa Core CPU GPS, (Grey)"/>
        <s v="Samsung Galaxy Tab A9 22.10 cm (8.7 inch) Display, RAM 4 GB, ROM 64 GB Expandable, Wi-Fi+4G, Tablet, Dark Blue"/>
        <s v="XIAOMI Pad 8 [Smartchoice] Flagship Snapdragon 8s Gen 4 |11.2&amp;quot; 3.2K Display | 8GB, 128GB | Ultra Slim Metal Design | 9200mAh Battery | 68 Bn+ Colours HyperAI | Wi-Fi 7 | Titanium Blue"/>
        <s v="XP-Pen Magic Note Pad 10.95&amp;quot; Digital Note-Taking Tablet, Paper-Like LCD Display, 3-Color Modes, 16K Pressure Stylus (X3 Pro Pencil 2), 6+128GB, Android 14 â€“ for Writing, Reading, PDF Notes &amp;amp; Study"/>
        <s v="Samsung Galaxy Tab S10 FE [Smartchoice], S Pen in-Box, 27.7 cm (10.9 inch) Display, AI Writing, Desktop Mode, Pre Loaded Pro Apps, 8 GB RAM, 128 GB Storage, Wi-Fi Tablet, Silver"/>
        <s v="OnePlus Pad 3 World&amp;#x27;s Fastest Snapdragon 8 Elite Processor, 13.2&amp;quot; 3.4k Screen, 144Hz Adaptive Refresh Rate, 8 Speakers, AI, 12140 mAh Battery, 12 GB RAM + 256 GB ROM WiFi, Storm Blue"/>
        <s v="Samsung Galaxy Tab S10 Plus [Smartchoice], S Pen in-Box, 31.5 cm (12.4 inch) Dynamic AMOLED 2X Display, 12 GB RAM, 256 GB Storage, Wi-Fi + 5G Tablet, Moonstone Gray"/>
        <s v="IKALL N12 7-Inch Android Tablet | 3GB RAM, 16GB ROM | 2MP Rear Camera | 3000mAh Battery | WiFi Tablet â€“ Black"/>
        <s v="HAMMER Airflow Neo Earbuds with 80H Playtime, 13mm Titanium Driver, 40ms Gaming Mode, Fast Charging Buds, Type-C Charging, Voice Assistant, Lightweight Dual-Tone Design (Grey)"/>
        <s v="Boat Airdopes 219, 4Mics ENx, 40H Battery, Best in Segment for Calling, Stream Ad Free Music via App Support, Bluetooth Earbuds, TWS Ear Buds Wireless Earphones with mic (Forest Sage)"/>
        <s v="DuoPods Infinity True Wireless Earbuds, 70H Playtime, 3D Soundstage, AI-ENC HD Calls, 13mm Drivers, AAC Audio, Bluetooth 5.3, IPX4, Made in India"/>
        <s v="OnePlus Nord Buds 3r TWS Earbuds up to 54 Hours Playback, 2-mic Clear Calls, 3D Spatial Audio, AI Translation, 12.4mm Drivers, Dual-Device Connectivity, 47ms Low Latency - Ash Black"/>
        <s v="CMEE BURDS Earbuds Wireless Bluetooth 5.3 TWS Earphones with Full Touch Control, Built-in Microphone, Premium Sound Quality, Fast Stable Connection, Type C Charger"/>
        <s v="Kratos TW02 Ear Buds Wireless with 30H Playtime, Noise Isolation &amp;amp; Clear Calls, Bluetooth Earbuds with Voice Assistant, Ear Buds with Bluetooth V 5.3 &amp;amp; with Type C Fast Charging, IPX5 TWS Earphones"/>
        <s v="HAMMER Ultra Pods True Wireless Earbuds with in-Built Mic, 100H Standby Time, 1H Charging USB Type-C, 13mm Dynamic Drivers, 50H Playtime, BT v6.0 Connectivity, IPX5 Water Resistant (Beige)"/>
        <s v="Philips TAT1269 Bluetooth Truly Wireless in Ear Earbuds with mic, 13mm Drivers, Bluetooth 5.4, 40H Playtime, IPX5, Fast Charging, Touch Controls, Voice Assistant, Mono Mode, LED Indicator (Deep Black)"/>
        <s v="Boat Airdopes Joy, 35Hrs Battery, Fast Charge, IWP Tech, Low Latency, 2Mic ENx, Type-C Port, v5.3 Bluetooth Earbuds, TWS Ear Buds Wireless Earphones with mic(Jet Black)"/>
        <s v="Boat Airdopes 141 Gen 2, 4 Mics ENx Tech, 48 Hrs Playback, Free Music Streaming, Fast Charge, Low Latency, IPX4, v5.4 Bluetooth Earbuds, TWS Ear Buds Wireless Earphones with mic (Active Black)"/>
        <s v="realme Buds T200x True Wireless Earbuds with 12.4mm Dynamic Bass Drivers, 25 dB ANC, Quad Mic, 45ms Latency, Upto 48 Hrs Playback, Fast Charge, IP55 Rated, BT 5.4 (Pure Black)"/>
        <s v="Earbuds for One-Plus Nord CE 2 Lite Earbuds Original Like True Wireless Bluetooth in-Ear Headphones Earphones TWS with Mic, Touch Controls, Deep Bass, Sports (38 Hours Case, OPBR1)"/>
        <s v="OnePlus Buds 4 TWS Earbuds with Upto 55dB Real-time ANC, Adaptive Mode, Dual Drivers with DACs, 3D Audio, Upto 45hrs Music Playback, ,Dual-Device connectivity, 47ms Low Latency, Zen Green"/>
        <s v="boAt Airdopes 101v2, 35H Battery, ENx Tech, 13mm Drivers, ASAP Charge, Flex-Fit Ear Tips,Stream Ad Free Music via App Support, Bluetooth Earbuds, TWS Ear Buds Wireless Earphones with mic (Pitch Black)"/>
        <s v="OnePlus Nord Buds 3 Truly Wireless Bluetooth Earbuds with up to 32dB Active Noise Cancellation, 10mins for 11Hours Fast Charging with Up to 43h Music Playback -Melodic White"/>
        <s v="Boat Airdopes Plus 311, Glass Design, ENx Tech, Fast Charge, 50 Hrs Battery, Stream Ad Free Music via App Support Bluetooth Earbuds, TWS Ear Buds Wireless Earphones with mic (Charcoal Black)"/>
        <s v="realme Buds T310 Truly Wireless in Ear Earbuds with 46dB Hybrid ANC, 360Â° Spatial Audio, 12.4mm Dynamic Bass Driver, Upto 40Hrs Battery and Fast Charging (Agile White)"/>
        <s v="Samsung Galaxy Buds Core (Black) Galaxy AI Enabled in-Ear TWS with ANC | Enriched Bass | 6 Mic Setup | IP54 | 35hrs Battery | Touch Controls"/>
        <s v="GOBOULT Z40 True Wireless in Ear Earbuds with 60H Playtime, Zenâ„¢ ENC Mic, Low Latency Gaming, Type-C Fast Charging, Made in India, 10mm Rich Bass Drivers, IPX5, Ear Buds TWS (White)"/>
        <s v="Samsung Galaxy Buds4 Pro (Black) in-Ear Wireless Earbuds with Hi-Fi Audio | Adaptive ANC 2.0 and EQ 2.0 | 2-Way Speaker | 360-Audio | Voice Detect | Live Translation | Head Gesture | IP57"/>
        <s v="Portronics Conch Theta C in Ear Type C Wired Earphones with in Line HD Mic, Powerful Audio, 14.2mm Driver, Unique Earbuds Design, TPE Anti Tangle Wire, in line Controls, Wide Compatibility(Orange)"/>
        <s v="realme Buds Air 8,11mm+6mm Dual Dynamic Bass Drivers,58Hrs Playtime, 55dB ANC,6 Mic ENC, 45ms Low Latency, 360Â° Spatial Audio, Hi-Res LHDC, IP55 Dust &amp;amp; Water Resistant, BT v5.4 (Master Grey)"/>
        <s v="Noise Buds VS102 Plus Wireless Earbuds, Bluetooth Earbuds with 70H Playtime, Quad Mic ENC for Clear Calls, 11mm Drivers, Deep Bass, Instacharge, Bluetooth v5.3 (Matte Black)"/>
        <s v="OnePlus Nord Buds 4 Pro TWS Earbuds Upto 55dB Real-time ANC, Adaptive Mode, 12mm Titanium-Coated Driver, Spatial Audio, Upto 54hrs Playback, Dual-Device connectivity, 47ms Low Latency, Radiant Gray"/>
        <s v="soundcore by Anker R50i VI True Wireless Earbuds, 10mm Drivers with Big Bass, Bluetooth 5.3, 30H Long Playtime, Water-Resistant, 2 Mics for AI Clear Calls, 22 Preset EQs, Customization (White)"/>
        <s v="Noise Buds VS104 Truly Wireless Earbuds with 45H of Playtime, Quad Mic with ENC, Instacharge(10 Min=200 Min), 13Mm Driver, Low Latency, BT V5.2 (Snow White)"/>
        <s v="pTron Bassbuds Spark in-Ear TWS Earbuds with Stereo Sound, 40Hrs Playtime, Stereo Calls, Bluetooth V5.3 Headphones with Quick Pairing, Touch Control, Voice Assistant, Type C Charging &amp;amp; IPX5 (Black)"/>
        <s v="realme Buds Air 7,12.4mm Dynamic Bass Drivers,52Hrs Playtime,52dB Hybrid ANC,6 Mic ENC,45ms Low Latency,360Â° Spatial Audio,Hi-Res LHDC,IP55 Dust &amp;amp; Water Resistant,True Wireless TWS BT v5.4(Moss Green)"/>
        <s v="JBL Wave Buds 2 Wireless Ear Buds - Black"/>
        <s v="Kratos Cube Ear Buds Wireless with 30H Playtime, Noise Isolation &amp;amp; Clear Calls, Bluetooth Earbuds with Voice Assistant, Ear Buds with Bluetooth V 5.3 &amp;amp; with Type C Fast Charging, IPX4 TWS Earphones"/>
        <s v="Mivi DuoPods Marathon Earbuds Wireless | Fast Charge | 70H Playtime | BT v5.3 | 13mm Drivers | Noise Cancellation | IPX4.0 TWS"/>
        <s v="Sounce Earphone Case Cover for Boat Airdopes 300 Premium TWS Soft Silicone Skin Case Cover Shock Absorbing Protective Case with Keychain [Front LED Visible] - Black"/>
        <s v="Earbuds for One Plus 12r/11r/10r/10t/10/10 pro/9/9 pro/8T/8/8pro/7Pro/7T/7TPro/Nord/Ce3 lite Wireless Earbuds (OPBR51)"/>
        <s v="Noise Pure Pods Wireless Open Ear Earbuds with AirWaveâ„¢ Technology,Up-to 80H Playtime,Quad Mic with ENC,16mm Neodymium Dynamic Driver,Detachable Pure Band,BTv5.3 (Power Black)"/>
        <s v="OnePlus Nord Buds 4 Pro TWS Earbuds, Upto 55dB Real-time ANC, Adaptive Mode, 12mm Titanium-Coated Driver, Spatial Audio, Upto 54hrs Playback, Dual-Device connectivity, 47ms Low Latency, Raven Black"/>
        <s v="Boat Nirvana Space, 360Âº Spatial Audio, Active Noise Cancellation (~32dB), 100Hrs Battery,4Mics ENx, Fast Charge, v5.3 Bluetooth Earbuds, TWS Ear Buds Wireless Earphones with mic (Cosmic Black)"/>
        <s v="GOBOULT W20 Truly Wireless in Ear Earbuds with 40H Playtime, Zenâ„¢ ENC Mic, 45ms Low Latency, 13mm Bass Drivers, Type-C Fast Charging, Touch Controls, IPX5 Ear Buds TWS (Space Black)"/>
        <s v="Sony WF-C710NSA | Dual Noise Cancellation Wireless Bluetooth in Ear Earbuds | AI Call Quality | 40Hrs Battery W/O ANC | 30Hrs Battery with ANC - Black"/>
        <s v="CME Buds 2A Global Version in-Ear Wireless Earphone 12.4mm Driver 42dB ANC 4HD Mics Up to 35.5H Playback IP54 BT 5.4"/>
        <s v="Boat Nirvana Ivy, 50dB Hybrid ANC, 360Âº Spatial Audio, Dynamic Head Tracking,Fast Charge,App Support, 50HRS Battery, v5.3 Bluetooth Earbuds, TWS Ear Buds Wireless Earphones with mic (Quartz Cyan)"/>
        <s v="Noise Buds Mini Truly Wireless Earbuds (2026) | Half in-Ear Design | 40H Playtime | Quad Mic ENC for Clear Calls | 13mm Driver | Low Latency Gaming Mode | BT v5.3 | IPX4 Sweat Resistant - Jet Black"/>
        <s v="GOBOULT Tenet TWS Earbuds with 75H Playtime, Amp App Support, Quad Mic ENC, Dual Device Pairing Buds, 13mm Driver Ear Buds, Bluetooth 5.4 Wireless Earbuds (Turbo Orange)"/>
        <s v="Noise Newly Launched Buds Connect 3 Truly Wireless Earbuds with 40H of Playtime, Quad Mic with ENC, Low Latency, 10mm Driver, BT V5.4(Slate Black)"/>
        <s v="Boat 2026 Launch Nirvana Crown, Sonic ARC, LEDs, Haptic Feedback,50dB Hybrid ANC,Spatial Audio, 6 Mic ENx, App Support, v6.0 Bluetooth Earbuds, TWS Ear Buds Wireless Earphones with mic (Blazing Red)"/>
        <s v="Noise Buds N1 Truly Wireless Earbuds with Chrome Finish, 40H of Playtime, Quad Mic with ENC, Ultra Low Latency Gaming (Up to 40 Ms), Instacharge(10 Min=120 Min), Bluetooth V5.3(Ice Blue)"/>
        <s v="Sounce Earphone Case Cover for Boat Airdopes 800 TWS Soft Silicone Skin Case Cover Shock Absorbing Protective Case with Keychain [Front LED Visible] - Black"/>
        <s v="GOBOULT Mustang Torq Wireless in Ear Earbuds with 60H Playtime, App Support, Quad Mic ENC, 45ms Low Latency, 13mm Driver, Breathing LEDs, Made in India Ear Buds Wireless (Silver)"/>
        <s v="VW 80 cm (32 inches) OptimaX Series HD Ready Smart QLED Android TV VW32AQ1"/>
        <s v="VW 109 cm (43 inches) Spectra Series Full HD Smart QLED Android TV VW43AQ3"/>
        <s v="Xiaomi 80 cm (32 inch) F Series HD Ready Smart LED Fire TV L32MB-FIN"/>
        <s v="Samsung 108 cm (43 inches) FHD Smart LED TV UA43F5550FUXXL"/>
        <s v="Uniboom_Optima Series 60 cm (24 inch) HD Ready LED TV 2025 Edition with 30W Sonic Boom - True Frameless - Aura Vision+ Display - (Non Smart)- 24N-ULT-AED"/>
        <s v="Kodak QLED SE 100 cm (40 inch) QLED Full HD Smart Linux TV 2025 Edition (40QSE5009)"/>
        <s v="TCL 101 cms (40 inches) V5C Series Full HD Smart QLED TV Google TV 40V5C"/>
        <s v="Foxsky 139 cm (55 inch) Frameless Series QLED 4K Ultra HD LED Smart TV FS55GATV (Black)"/>
        <s v="Philips 108 cm (43 inches) 6100 Series Frameless Full HD Smart LED Google TV 43PFT6130/94"/>
        <s v="VW 80 cm (32 inches) Frameless Series HD Ready Android Smart LED TV VW32S"/>
        <s v="Blaupunkt 80 cm (32 inches) Quantum Dot Series QLED Google Android TV 32QD7080"/>
        <s v="Philips 165 cm (65 inches) 8100 Series 4K Ultra HD Smart QLED Google TV 65PQT8100/94"/>
        <s v="coocaa 164 cm (65 inches) 4K Ultra HD Smart Mini LED QLED Google TV 65MINI75Q"/>
        <s v="Xiaomi 108 cm (43 inch) A Full HD Smart Google LED TV L43MB-AFIN"/>
        <s v="Uniboom_Optima Series102 cm (40 inch)HD Smart LED TV | Android TV with Voice Command App |5000+ Free Movies |30W Sonic Boom Speakers| 500+ Certified Apps |Mobile Remote |Mobile Screen Cast 40S-ULT-AED"/>
        <s v="Onida 108 cm (43 inch) QLED Ultra HD 4K Smart Fire TV Q43UFD"/>
        <s v="TCL 189 cm (75 inches) Metallic Bezel Less Series 4K Ultra HD Smart LED Google TV 75V6C (Black)"/>
        <s v="VW 127 cm (50 inches) Pro Series 4K Ultra HD Smart QLED Google TV VW50GQ2"/>
        <s v="VW 80 cm (32 inches) Pro Series HD Ready Smart QLED Google TV VW32GQ1"/>
        <s v="Samsung 138 cm (55 inches) Vision AI 4K Ultra HD Smart QLED TV QA55QEF1AULXL"/>
        <s v="Samsung 125 cm (50 inches) Crystal 4K Vista Ultra HD Smart LED TV UA50UE81AFULXL"/>
        <s v="80 cm (32 inches) Glow Series HD Ready Smart QLED Android TV BAZ32S (Black)"/>
        <s v="Philips 138 cm (55 inches) 4K Ultra HD QLED Smart QD-Mini LED Google TV 55MLED610/94"/>
        <s v="Acer 127 cm (50 inches) Ultra I Series 4K Ultra HD Smart LED Google TV AR50UDGGU2875BD"/>
        <s v="24â€INCH HD Ready Android Smart LED TV | WiFi Enabled | Built-in Apps Compatible (YouTube, Netflix, Prime Video) | Screen Mirroring | HDMI, USB Connectivity | Premium Slim &amp;amp; Stylish Design Black"/>
        <s v="Vu 164cm (65 inches) Vibe Series 4K QLED Smart Google TV 65VIBE-DV"/>
        <s v="TCL 139 cm (55 inches) 4K Ultra HD Smart QLED Google TV 55T8C"/>
        <s v="Xiaomi 138 cm (55 inch) X Ultra HD 4K Smart Google LED TV L55MB-AIN"/>
        <s v="Vu 139cm (55 inches) Masterpiece Frame Series 4K QLED TV 55MASTERPIECE (Armani Gold)"/>
        <s v="TCL 189 cm (75 inches) 4K UHD Smart QD-Mini LED Google TV 75Q6C"/>
        <s v="Hisense 305 cm (120 inches) Trichrom ALR Screen Series 4K Ultra HD Smart Laser TV 120L9HE (Black)"/>
        <s v="TCL 80 cms (32 inches) V4C Series HD Ready Smart QLED Google TV 32V4C"/>
        <s v="Xiaomi 165 cm (65 inches) 4K UHD Smart Quantum MagiQ S Mini LED Google TV L65MC-IN"/>
        <s v="LG 126 cms (50 inches) NU87 AI Series Nano 4K Ultra HD Smart webOS VA LED TV 50NU870BPLA"/>
        <s v="Samsung 214 cm (85 inches) 4K Ultra HD Smart QLED TV QA85Q60BAKXXL (Black)"/>
        <s v="Vu 164cm (65 inches) GloQLED Series 4K QLED Smart Google TV 65GLOQLED25"/>
        <s v="Onida 80 cm (32 inch) Smart Genius Series HD Ready Smart LED TV 32AHI"/>
        <s v="TCL 248 cm (98 inches) 4K Ultra HD Smart QLED Google TV 98P8K"/>
        <s v="LG 126 cm (50 inches) UA82 AI Series 4K Ultra HD (3840 x 2160) Smart webOS LED TV 50UA82006LA"/>
        <s v="JVC 190 cm (75 inches) AI Vision Series QLED Google TV LT-75NQ7165C (Black)"/>
        <s v="Sony 215 cm (85 inches) BRAVIA 3II Ultra HD Smart LED Google TV K-85XR35M"/>
        <s v="Sony 189 cm (75 inches) BRAVIA 2M2 Series 4K Ultra HD Smart LED Google TV K-75S25BM2"/>
        <s v="VW 165 cm (65 inches) Pro Series 4K Ultra HD Smart QLED Google TV VW65GQ2"/>
        <s v="Samsung 214 cm (85 inches) 4K Ultra HD Smart Neo QLED TV QA85QN90BAKXXL (Titan Black)"/>
        <s v="coocaa 138 cm (55 inch) Frameless UHD 4K Smart Google TV 55Y74"/>
        <s v="Lumio Vision 7 127 cm (50 inches) 4K Ultra-HD Smart QLED Google TV FTW2-ADSG"/>
        <s v="LG 217 cm (86 Inches) Nano 85A Series 4K UHD Smart TV 86NANO85A6A"/>
        <s v="Haier 80cm (32) W4G Series HD Ready Smart Google TV 32W4G"/>
        <s v="Haier 165 L 1 Star Direct Cool Single Door Refrigerator with Diamond Edge Freezing Technology, Easy Clean Back, Large Vegetable Box (HED-171MSA-P, Moon Silver, 2026 Model)"/>
        <s v="Whirlpool 184 L 2 Star Direct-Cool Single Door Refrigerator (205 WDE CLS 2S SAPPHIRE BLUE-Y, Blue, 2026 Model)"/>
        <s v="Godrej 180 L 2 Star| 5 Years Comprehensive Warranty | Toughened Glass Shelves | Single Door Refrigerator (2026 Model, RD EDGE 205BN THF PP BL, Pep Blue)"/>
        <s v="Voltas Beko, A Tata Product 183 L, 2-Star Single Door Direct Cool Refrigerator with Fresh Box Technology (RDC215C / 2S0XER0M0000GO, Hairline Blue)"/>
        <s v="Samsung 189 L, 5 Star, Digital Inverter, Direct-Cool Single Door Refrigerator (RR21H2H25RZ/HL, Midnight Blossom Red, Base Stand Drawer, Single Touch Defrost, 2026 Model)"/>
        <s v="Samsung 189 L, 5 Star, Digital Inverter, Direct-Cool Single Door Refrigerator (RR21H2H25CU/HL, Camellia Blue, Base Stand Drawer, Single Touch Defrost, 2026 Model)"/>
        <s v="Haier 190 L 4 Star Direct Cool Single Door Refrigerator with Fast Ice Making, Easy Clean Back, Large Vegetable Box (HED-204TMIBA-N, Marine Ivy, Base Stand Drawer, 2026 Model)"/>
        <s v="Godrej 185 L 4 Star Rating| 5 Years Comprehensive Warranty | Toughened Glass Shelves | 24 Day Farm Freshness| Jumbo Vegetable Tray | Single Door Refrigerator (RD 195DN TAI MN BL, Marine Blue)"/>
        <s v="Samsung 183 L, 4 Star, Digital Inverter, Direct-Cool Single Door Refrigerator (RR20H28249U/NL, Paradise Bloom Blue, Base Stand Drawer, Single Touch Defrost, 2026 Model)"/>
        <s v="Godrej 183 L 3 Star 5 Years Comprehensive New Launch | Toughened Glass Shelves | 24 Day Farm Freshness | Jumbo Vegetable Tray | Single Door Refrigerator (RD R190CN THF FR BL, Floral Blue)"/>
        <s v="Haier 100 L 2 Star Direct Cool Single Door Mini Bar Refrigerator with Chiller Freezer Box, LED Light for Clear View, Lock &amp;amp; Key and Easy Clean Back (HRD-1252KSA, Black Steel, 2026 Model)"/>
        <s v="Samsung 183 L, 4 Star, Digital Inverter, Direct-Cool Single Door Refrigerator (RR20H27249R/NL, Paradise Bloom Purple, Single Touch Defrost, 2026 Model)"/>
        <s v="Voltas Beko, A Tata Product 472 L Side by Side Frost Free Refrigerator with ProSmart Inverter Compressor (RSB495/FPV300RXID, INOX steel, Electronic Temperature Control and Display)"/>
        <s v="Samsung 189 L, 5 Star, Digital Inverter, Direct-Cool Single Door Refrigerator (RR21H2H25WB/HL, Wild Lily Blue, Base Stand Drawer, Single Touch Defrost, 2026 Model)"/>
        <s v="Haier 190 L 5 Star Direct Cool Inverter Single Door Refrigerator with Fast Ice Making, Easy Clean Back, Large Vegetable Box (HED-205DSA-P, Dazzle Steel, 2026 Model)"/>
        <s v="Whirlpool 235 L Frost Free Triple-Door Refrigerator | Zeolite Technology | Microblock Technology(FP 253D PROTTON ROY RADIANT STEEL(Z), Up to 44% Reduction in Cold Air Loss*]"/>
        <s v="Haier 190 L 5 Star Direct Cool Inverter Single Door Refrigerator with Fast Ice Making, Easy Clean Back, Large Vegetable Box (HED-205TMIBA-N, Marine Ivy, Base Stand Drawer, 2026 Model)"/>
        <s v="Whirlpool 192 L 4 Star Icemagic Powercool Direct-Cool Single Door Refrigerator with Base Drawer (215 IMPC ROY 4S SAPPHIRE PEONY-Y, Blue, 2026 Model)"/>
        <s v="Haier 185L 2 Star Direct Cool Single Door Refrigerator | Toughened Glass Shelves | Large Veg Box | Fast Ice Making | Longer Cooling Retention | Easy Clean Back (HED-19TMS-N, Moon Silver)"/>
        <s v="IFB 206L 5 Star Advanced Inverter Direct-Cool Single Door Refrigerator with 30 Hrs Cooling Retention, Big Vegetable Box, 4 Year Super Warranty &amp;amp; Base Stand (2026, IFBDC-232EYBPED, Paradise Dream Blue)"/>
        <s v="Whirlpool 192 L 3 Star Vitamagic PRO Frost Free Direct-Cool Single Door Refrigerator (215 VMPRO PRM 3S RADIANT STEEL-Y, Silver, Auto Defrost Technology, 2026 Model)"/>
        <s v="LG 185 L, 4 Star, Smart Inverter, Direct Cool Single Door Refrigerator (GLD1945ZOSE, Scarlet Euphoria, Base stand with Drawer)"/>
        <s v="IFB 187L 4 Star Advanced Inverter Direct-Cool Single Door Refrigerator with 30 Hrs Cooling Retention, Big Vegetable Box, 4 Year Super Warranty &amp;amp; Base Stand (2026, IFBDC-213DYBPED,Paradise Dream Blue)"/>
        <s v="Samsung 330 L, 3 Star, Convertible 5-in-1, Digital Inverter, Frost Free Double Door, WiFi Bespoke AI Refrigerator (RT34HG5A23BXHL, Luxe Black, 2026 Model)"/>
        <s v="Samsung 236 L, 3 Star, Convertible, Digital Inverter Frost Free Double Door Refrigerator (RT40H28U3THL, Silver, Refined Inox, 2026 Model)"/>
        <s v="Samsung 189 L, 4 Star, Digital Inverter, Direct-Cool Single Door Refrigerator (RR21H2G24S8/HL, Silver, Elegant Inox, Single Touch Defrost, 2026 Model)"/>
        <s v="IFB 197L 5 Star Advanced Inverter Direct-Cool Single Door Refrigerator with 30 Hrs Cooling Retention, XL Bottle Bin, Big Vegetable Box &amp;amp; 4 Year Super Warranty (2026, IFBDC-223EYBSE, Brush Grey)"/>
        <s v="Godrej 223L 2 Star 5 Years Comprehensive New Launch | 95%+ Food Surface Disinfection Uniform 360Â° Cooling Inverter Frost Free Double Door Refrigerator (RF EON 244BN RI STEEL GLOW Steel Glow)"/>
        <s v="LG 43 L 3 Star Direct Cool Minibar Single Door Refrigerator (GLD0536VRSW, Super White)"/>
        <s v="LG 185 L, 5 Star, Smart Inverter, Direct Cool Single Door Refrigerator (GLD1956ZAPI, Purple Ilan, Fit Max Chiller Tray, Base stand with Drawer &amp;amp; Runs on Home Inverter)"/>
        <s v="Haier 240 L 2 Star Frost Free Twin Inverter Double Door Refrigerator with Cool Pad for Extended Freezer Cooling &amp;amp; Spacious Fresh Zone (HEF-252EGSA-P, Moon Silver, 2026 Model)"/>
        <s v="Samsung 189 L, 5 Star, Digital Inverter, Direct-Cool Single Door Refrigerator (RR21H2H25UZ/HL, Midnight Blossom Blue, Base Stand Drawer, Single Touch Defrost, 2026 Model)"/>
        <s v="LG 251 L, 1 Star, Frost-Free Smart Inverter Double Door Refrigerator with Smart Mode (GLT2516WWPZ, Shiny Steel, Multi Air Flow Cooling with Max Fresh Zone, 2026 Model)"/>
        <s v="Godrej 185 L 5 Star 5 Years Comprehensive Warrant |Turbo Cooling Technology| Toughened Glass Shelves | Direct Cool Single Door Refrigerator (2026 Model, RD 195EN TAI MY WN, Mystic Wine)"/>
        <s v="TOSHIBA 650 L Frost Free Inverter 4-Door Refrigerator (GR-RF646WE-PGI, Classy Blue Glass Door Finish, Futuristic Plasma + Pure Technology) (GR-RF646WE-PGI(24))"/>
        <s v="Midea 560 L Side by Side Refrigerator, Inverter Compressor, Multi Air Flow Cooling, Water Dispenser (Frost Free, Energy Efficient, Large Capacity, Bru-Steel Finish)"/>
        <s v="Godrej 185 L 4 Star Single Door Refrigerator with Turbo Cooling Technology, Toughened Glass Shelves &amp;amp; 5 Years Warranty (RD 195DN TAI MY BL, Mystic Blue)"/>
        <s v="Samsung 223 L, 3 Star, Digital Inverter, Direct-Cool Single Door Refrigerator (RR24H2823UZ/NL, Midnight Blossom Blue, Base Stand Drawer, Single Touch Defrost, 2026 Model)"/>
        <s v="Samsung 396 L, 3 Star, Convertible 5-in-1, Digital Inverter, Frost Free Double Door, Bespoke AI WiFi Enabled Refrigerator (RT41DG6A4DB1HL, Black Matte/Black DOI)"/>
        <s v="SHARP 50L 2 Star Mini Direct Cool Single Door Refrigerator |Japan 7 Shield Protection|Toughened Glass shelves (Metal Silver, SJ-MRW055N3-PSS)"/>
        <s v="Samsung 301 L, 2 Star, Convertible 5-in-1 Digital Inverter with Display Frost Free Double Door Refrigerator (RT31H4522S9/HL, Silver, Refined Inox, 2026 Model)"/>
        <s v="LG 276 L, 2 Star, Smart Inverter, Smart &amp;amp; Dairy Mode, Frost-Free Double Door Convertible Refrigerator (GLT2826XWOB, Onyx Black, Multi Air Flow, Fresh Zone &amp;amp; Deodorizer, 2026 Model)"/>
        <s v="Samsung 550 L, Convertible, Digital Inverter, Frost Free French Door Refrigerator (RF57A5032S9/TL, Silver, Refined Inox)"/>
        <s v="Godrej 223 L 3 Star 5 Years Comprehensive New Launch Convertible Freezer 6-In-1, 30 Days Farm Freshness, Inverter Double Door Refrigerator (2026 Model, RF EON 244CN RCIF ST RH, Steel Rush)"/>
        <s v="Haier 325 L 2 Star Frost Free Triple Inverter Double Door Bottom Mount Refrigerator, Digital Touch Display &amp;amp; 2X Bigger Fresh Storage (HEB-332GBA-P, GE Black, 14 In 1 Convertible Modes, 2026 Model)"/>
        <s v="Midea 233 L 2 Star Frost Free Convertible, Real Inverter Double Door Refrigerator (MDRT359FGI50, Crystal Silver)"/>
        <s v="LG 322 L, 2 Star, Convertible, Smart Inverter, Frost Free Double Door Refrigerator (GLT3226SNDS, Dazzle Steel, Express Freeze &amp;amp; Multi Air Flow)"/>
        <s v="Samsung 550 L Inverter Frost-Free French Door Refrigerator (RF57A5032B1/TL, Black DOI, Convertible), Real Stainless, Convertible"/>
        <s v="VW 7.5 kg 5 Star Aqua Spin Semi Automatic Top Load Washing Machine AquaSpin0075P (Black)"/>
        <s v="Haier 6 kg 5 Star Oceanus Wave Drum Washing Machine Fully Automatic Top Load (HWM60-AE, Moonlight Silver)"/>
        <s v="Midea 7 Kg 5 Star Fully Automatic Front Load Washing Machine with Inverter Motor, Self Clean Drum Technology, 15 Wash Programs (MFG17W70B/T-IND, Titanium Grey)"/>
        <s v="Whirlpool 7 kg Magic Clean 5 Star Fully Automatic Top Load Washing Machine Grey (MAGIC CLEAN 7.0 GENX GREY 5YMW)"/>
        <s v="LG 7 Kg 5 Star Wind Jet Dry Semi-Automatic Top Loading Washing Machine (P7020NGAZ, Dark Gray, Rat Away Feature)"/>
        <s v="Samsung 6.5 kg, 5 star, Semi-Automatic Top Load Washing Machine (WT65R2200LL/TL, Air Turbo Drying, LIGHT GRAY, 5 Year Warranty on Wash Motor)"/>
        <s v="Voltas Beko, A Tata Product 6.5 Kg 5 Star Semi-Automatic Top Loading Washing Machine (WTT65UNX/OK3I0I0W01, Blue, Pulsator wash technology)"/>
        <s v="Midea 7.5 Kg 5 Star Fully Automatic Top Load Washing Machine, Spiral Stream Tub, Dual Waterfall, 6 Petal Pulsator, Magic Filter (MWMTL075FP0PNMB, Auto Restart, Mid Black)"/>
        <s v="Samsung 7 kg, 5 Star, Eco Bubble Technology, Digital Inverter Motor, Soft Closing Door, Fully-Automatic Top Load Washing Machine (WA70BG4441YYTL, Lavender Gray)"/>
        <s v="Whirlpool 7.5 Kg 5 Star StainWash Magic Clean PRO Fully Automatic Top Load Washing Machine (MAGIC CLEAN PRO SW 7.5 (H) GREY 10YMW with In-Built Heater)"/>
        <s v="LG 8.5 kg 5 Star Semi-Automatic Top Load Washing Machine (P8530SRAZ, Burgundy, Roller Jet Pulsator)"/>
        <s v="Haier 7 Kg 5 Star Semi Automatic Top Load Washing Machine with Anti Bacterial Cross Pulsator and Spray Function (HTW70-1187BTN, Anti Rat Mesh, Magic Filter, Castors, Burgundy)"/>
        <s v="LG 7 Kg 5 Star Smart Inverter Technology Fully Automatic Top Load Washing Machine (T70VBMB1Z, Auto Prewash, Turbodrum, Stainless Steel drum, LED Display, Smart Diagnosis Middle Black)"/>
        <s v="Samsung 8 Kg, 5 Star, Hygiene Steam, Ecobubble, Quick Wash, Soft Closing Door, Digital Inverter, Fully-Automatic Top Load Washing Machine (WA40F08H2CTL, In-Built Heater, Stainwash, Deep Charcoal)"/>
        <s v="Samsung 7 kg, 5 star, Semi Automatic Top Load Washing Machine (WT70M3000UU/TL, Air Turbo Drying, LIGHT GRAY, 5 Year Warranty on Wash Motor)"/>
        <s v="Samsung Smart Choice 8 kg, 5 star, Eco Bubble Tech, Digital Inverter Motor, Soft Closing Door, Fully-Automatic Top Load Washing Machine (WA80BG4441BGTL, Light Gray)"/>
        <s v="IFB 8 Kg 5 Star with Deep CleanÂ® Technology, AI Powered, Fully Automatic Top Load Washing Machine (TL801MG1, ActivMix, Aqua Energie, Med Grey)"/>
        <s v="LG Smart Choice, 7 Kg, 5 Star, Steam, Inverter Direct Drive Technology, 6 Motion DD, Fully-Automatic Front Load Washing Machine (FHB1207Z2W, Remove Allergens &amp;amp; Stain, In-Built Heater, Essence White)"/>
        <s v="Ionstar 7.5 Kg Semi Automatic Washing Machine - 5 Star Rated - 2025 - Top Load - Jet Pulsator - Magic Filter - Special Air Dryer - Buzzer - Wheels - Powerful Copper Motor - 1500 RPM (STAR75-AQUA-G)"/>
        <s v="Whirlpool 7.0 Kg 5 Star MAGIC CLEAN Semi-Automatic Top Loading Washing Machine (MAGIC CLEAN RYL SRS 7.0 GREY DAZZLE (5YR), 4 Year Comprehensive Warranty, 1400 RPM Motor, 5 Year Motor Warranty)"/>
        <s v="VW V8 TurboWash 8 Kg 5 Star Fully-Automatic Top Loading Washing Machine (Grey)"/>
        <s v="Bosch 7 kg 5 Star Fully Automatic Top Loading Washing Machine (WOE70AH0IN, PowerWave Wash &amp;amp; in-built Dual Lint Filter, Stainless Steel VarioDrum with 5 fin Pulsator, Water Save, Eco Wash, Med Grey)"/>
        <s v="LG Smart Choice, 9 Kg, 5 Star, AI Direct Drive Technology, Steam, 6 Motion DD &amp;amp; Wi-Fi Fully-Automatic Front Load Washing Machine (FHP1209Z5M, Intelligent &amp;amp; Convenient Fabric Care, Middle Black)"/>
        <s v="Voltas Beko, A Tata Product 6.5 Kg 5 Star Fully-Automatic Top Loading Washing Machine (WTL6504UEA/OBS2P10 Eco-Series,Dark Grey, Pulsator wash and Double waterfall technology)"/>
        <s v="Bosch 8 kg 5 Star Front Load Fully-Automatic Washing Machine, AI ActiveWater, 15 Wash Programs, Removes 99.9% Germs with Steam, No Tangle or Wrinkle,White, WAJ28260IN"/>
        <s v="Voltas Beko, Top Load 7 Kg 5 Star Eco Wash/Monsoon Dry Fully-Automatic Washing Machine (WTL70, Water Reuse, Side Waterfall, Mansoon Dry, Dark Grey)"/>
        <s v="Godrej Smart Choice 7 Kg 5 Star, 5 Years Comprehensive Warranty, AI Tech, Fills Tub At ~0 Water Pressure, Fully-Automatic Top Load Washing Machine (WTEON ALP 70 5.0 FDUN GPGR, Graphite Grey)"/>
        <s v="Voltas Beko, A Tata Product 11 Kg 5 Star Fully-Automatic Top Loading Washing Machine (WTL1106UEA / OBS1060, Grey, Double Waterfall Technology)"/>
        <s v="Samsung 8 Kg, 5 Star, AI Wash, AI Energy Mode, Wi-Fi, Ecobubble, AI VRT+, Super Speed, Soft Closing Door, Digital Inverter, Fully-Automatic Top Load Washing Machine (WA80F08S2LTL, Lavender Gray)"/>
        <s v="Whirlpool 6.5 Kg 5 Star Magic Clean Semi-Automatic Top Loading Washing Machine (MAGIC CLEAN 6.5 GREY, 4 Year Comprehensive Warranty, 1400 RPM Motor, 5 Year Motor Warranty)"/>
        <s v="Bosch 8 kg 5 Star Fully Automatic Top Loading Washing Machine (WOE80AH0IN, PowerWave Wash &amp;amp; in-built Dual Lint Filter, Stainless Steel VarioDrum with 5 fin Pulsator, Water Save, Eco Wash, Dark Grey)"/>
        <s v="Voltas Beko, A Tata Product 9 Kg 5 Star Semi-Automatic Top Loading Washing Machine (WTT90UHA/OK5B1B1S23, Black, Pulsator Wash Method and Double waterfall technology)"/>
        <s v="Voltas Beko, A Tata Product 8 kg 5 Star Fully-Automatic Top Loading Washing Machine (WTL8006UEA / OBS1060, Grey, Double Waterfall Technology)"/>
        <s v="IFB 7 Kg 5 Star, DeepCleanÂ® Technology, AI Powered, WiFi, Fully Automatic Front Load Washing Machine (SERENA SXN 7012 CMS, PowerSteamÂ®, 9 Swirl, Steam Refresh, Inbuilt Heater, Eco Inverter,Rich Silver)"/>
        <s v="VW 8 kg 5 Star Super Wash Semi Automatic Top Load Washing Machine SuperWash0080P (White &amp;amp; Burgundy)"/>
        <s v="Samsung 9 kg, 5 star, AI EcoBubble, Super Speed, Wi-Fi, Hygiene Steam with Inbuilt Heater, Digital Inverter, Fully-Automatic Front Load Washing Machine (WW90DG5U24AXTL, Inox)"/>
        <s v="IFB 9 Kg 5 Star, DeepCleanÂ® Technology, AI Powered, WiFi, Fully Automatic Front Load Washing Machine (EXECUTIVE MXN 9014K CMS, PowerSteamÂ®, 9 Swirl, Steam Refresh, Inbuilt Heater, Eco Inverter, Mocha)"/>
        <s v="Samsung 7.5 Kg Inverter 5 Star Semi Automatic Top Load Washing Machine (WT75B3200RR/TL, Light Grey &amp;amp; Red Base, Air turbo drying, 5 Year Warranty on Wash Motor)"/>
        <s v="IFB 6.5 Kg 5 Star, DeepCleanÂ® Technology, AI Powered, Fully Automatic Front Load Washing Machine (ELENA GXN 6510, PowerSteamÂ®, 9 Swirl, Steam Refresh, Inbuilt Heater, Eco Inverter, Grey)"/>
        <s v="Samsung Smart Choice 10 Kg, 5 Star, AI Wash, AI Energy Mode, Wi-Fi, Ecobubble, AI VRT+, Soft Closing Door, Digital Inverter, Fully-Automatic Top Load Washing Machine (WA80F10E2LTL, Lavender Gray)"/>
        <s v="Whirlpool 8 kg Magic Clean 5 Star Fully Automatic Top Load Washing Machine Grey (MAGIC CLEAN ELT 8.0 GREY 10YMW, Hard Water Wash)"/>
        <s v="Godrej 7 Kg 5 Star, AI Powered, FabriSafe Drum, 65% Water Saving, Fully Automatic Front Load Washing Machine (WFEON CRS 7010 5.0 FKEDM GLWH, Glacial White)"/>
        <s v="LG 11 Kg 5 Star Wind Jet Dry Rat Away Technology Semi-Automatic Top Loading Washing Machine (P1155SKAZ, Roller Jet Pulsator, Punch + 3, Middle Black)"/>
        <s v="Samsung 10.5 kg, 5 star, Semi-Automatic Top Load Washing Machine (WT10C4260GG/TL, Air Turbo Drying, Light Gray,)"/>
        <s v="Haier 7 Kg, Oceanus Wave Drum, 15 Min Quick Wash, Magic Filter, 8 Wash Programs, Fully Automatic Top Load Washing Machine (HWM70-AE | Moonlight Silver)"/>
        <s v="Samsung 9.5 Kg, 5 Star, Semi-Automatic Top Load Washing Machine (WT95A4260GD/TL, Air Turbo Drying, Dark Gray, 5 Year Warranty on Wash Motor)"/>
        <s v="IFB 9Kg 5 Star with Deep Clean Oxyjet Technology, AI Powered, Wi-Fi, Fully Automatic Front Load Washing Machine (EXECUTIVE MSC 9014 SSL, Steam Refresh Program with Eco Inverter, Metallic Silver)"/>
        <s v="Whirlpool 10 Kg 5 Star MAGIC CLEAN BW PRO Heater Fully Automatic Top Load Washing Machine (MAGIC CLEAN BW PRO H 10 KG Mn GREY 10YMW with In-Built Heater, 2025)"/>
        <s v="Godrej 1.5 Ton 3 Star Inverter Split AC with 5-in-1 Convertible Cooling| 5 Year Comprehensive Warranty| AI Powered| Heavy Duty Cooling at 52Â°C| Self Clean Technology (AC 1.5T EC HIC 18Q3TH WA)"/>
        <s v="Cruise 1 Ton 3 Star, New Star rated, Inverter Split AC with 7-Stage Air Filtration (Copper, Convertible 4-in-1, Fast Cooling at 48 Â°C, PM 2.5 Filter, Anti-Rust Tech, CWCVBM-VQ1D123,White)"/>
        <s v="Godrej 1.5 Ton 3 Star Inverter Split Smart AC (2026 Model, HIC 18Z3TG VA IOT4, Copper Condenser, 4-Way Swing, Wi-Fi Voice &amp;amp; App Control, i-Sense Technology, White)"/>
        <s v="Cruise 1.5 Ton 3 Star,New Star rated, Inverter Split AC with 7-Stage Air Filtration (Copper, Convertible 4-in-1, Fast Cooling, PM 2.5 Filter, Anti-Rust Tech, New BEE Rated, CWCVBM-VQ3D173, White)"/>
        <s v="Voltas 183V Vectra CAW 1.5 ton 3 star,New star rated, inverter Split AC|4-IN-1 Adjustable mode|High ambient Cooling-cools even at 52Â°C|Anti dust filter with Anti-microbial coating|Copper Coil| White"/>
        <s v="Whirlpool 1.5 Ton 3 Star, New star rated, Magicool Inverter Split AC (MAGICOOL 15T 3S INV CNV S6K2PP0, Copper, Convertible 4-in-1 Cooling Mode, HD Filter White)"/>
        <s v="IFB 1 Ton 3 Star,New star rated, AI Powered Inverter Split AC,Hybrid Mode, 8in1 Flexi Mode, Heavy Duty Compressor, Long Air Throw, Self Clean, Dual Gold Fins, 100% Copper, CI133SL11RGM3, white"/>
        <s v="Blue Star 1 Ton 3 Star,Inverter Split AC (Copper, Convertible 5 in 1 Cooling, DigiQ Hepta Sensor,Blue Fins, Self Diagnosis, IE312PNU, White)"/>
        <s v="IFB 1.5 Ton 5Star,New star rated,AI Powered Inverter Split Air Conditioner with Inbuilt WiFi,Hybrid Mode, 8in1 Flexi Mode,Heavy Duty Compressor,Self Clean,100% Copper Tubes,CI195SS32SGM3, White"/>
        <s v="Lloyd 1 Ton 3 Star Inverter Split AC (5 in 1 Convertible, Cools Up To 52Â°C, Smart 4 Way Air Swing, Turbo Cool, Installation Check, 100% Copper, White with Silver Deco Strip, GLS12I3FWSEA)"/>
        <s v="GENERAL 1 Ton BEE 2026 3 Star Rated, Inverter Split AC (Copper, 3580W, Powerful Cooling, 10m Long Reach Airflow, 55Â°C Max, Suitable for 120~150 Sft, ASGG12CPWA-B, White, Free Standard Installation)"/>
        <s v="Hitachi 1.5 Ton 3 Star Xpandable+ Inverter Split AC (100% Copper, 4-Way Swing, ice Clean, Dust Filter, 3400SXL RAS.D318PCCIBS, White)"/>
        <s v="IFB 1.5 Ton 3 Star, New star rated,AI Powered Inverter Split AC,Inbuilt WiFi, Hybrid Mode, 8-in-1 Flexi Mode, Heavy Duty Compressor, Long Air Throw, Self Clean, 100% Copper,CI183SS22SGM3, White"/>
        <s v="Hitachi 1 Ton 5 Star, New Star rated, Inverter Split AC (Copper, Smart View Display, ice Clean, 4 Way Swing, Anti-Bacterial Filter,RAS.V512PCDIBT, White)"/>
        <s v="Voltas 1.5 ton 5 Star Inverter Window AC (Copper, 2-in-1 Cooling Modes, Anti-Dust Filter, 2-Way Swing, Memory Restart, Sleep Mode (185INV ELITE, White)"/>
        <s v="LG 1.5 Ton 5 Star,New star rated, Smart Inverter Split AC (Copper, AI Convertible 6in1,VIRAAT Mode, Faster Cooling &amp;amp; Energy Saving, 4 Way Swing, HD Filter, AS-Q19YNZE1,White)"/>
        <s v="Godrej 1 Ton 5 Star, New Star rated, 5 Years Comprehensive Warranty, AI Powered, 5in1 Convertible Cooling, Inverter Split AC (Copper,Heavy-Duty Cooling at 52Â° C, AC 1.0T EC HIC 12J5TG WA,White)"/>
        <s v="Voltas 1 ton 3 Star Split AC|Auto Clean|Sleep mode (123INV VECTRA EMERALD)"/>
        <s v="VELURA Ductless Mini Split Air Conditioner with Remote for Apartment Office Bedroom|1 Mini Split Air Conditioner Home &amp;amp; Garden"/>
        <s v="Godrej 1.5 Ton 3 Star, New star rated,5 Years Comprehensive Warranty,AI Powered, 5 in1 Convertible Cooling, Inverter Split AC (Copper, Heavy Duty Cooling at 52Â°C, AC 1.5T SIC 18NTC3 WZE 3S,White)"/>
        <s v="Cruise 1.5 Ton 5 Star, New star rated, Black Inverter Split AC (Copper, Convertible 4-in-1, 4-Way Swing, Cooling at 55 Â°C, PM 2.5 Filter, Energy Saving, Anti-Rust Tech, CWCVBM-VP3F185BL, Piano Black)"/>
        <s v="Daikin 1.5 Ton 3 Star Inverter Split AC (Copper, PM 2.5 Filter, Triple Display, Dew Clean Technology, Coanda Airflow, 2024 Model, MTKL50U, White)"/>
        <s v="Voltas 1 ton 2 Star Fixed Speed Window AC (Copper, Anti Dust Filter, 2-Way Air Swing, Memory Restart, Sleep Mode (122FS PLATINA, White)"/>
        <s v="Ductless Mini Split Air Conditioner with Remote for Apartment Office Bedroom"/>
        <s v="LG 1 Ton 4 Star,New star rated,DUAL Inverter Split AC (Copper, AI Convertible 6-in-1 with VIRAAT Mode,Faster Cooling &amp;amp; Energy Saving, 4 Way Swing, HD Filter with AntiVirus Protection,AS-Q13JNYE,White)"/>
        <s v="Acerpure Chill Inverter Split Air Conditioner 1 ton 3 star, 4 in 1 convertible design, Anti-virus Filter, Blue Fin Technology Air Conditioner (White)"/>
        <s v="Ecozen Smart Air Conditioner - 1.5 Ton Inverter AC with Intelligent Cooling and Smartphone App Control (Classic) - IDU-WSAC18310XE52VMA, ODU-WSAC18310XE52VMA"/>
        <s v="Whirlpool 1.5 Ton 3 Star, Magicool Inverter Split AC (MAGICOOL 15T 3S INV CNV S5K2PP0, Copper, Convertible 4-in-1 Cooling Mode, HD Filter White)"/>
        <s v="Blue Star 1.5 Ton 5 Star,New Star Rated, Wi-Fi Smart Inverter Split AC (Copper,4-Way Swing, DigiQ Hepta Sensor, Blue Fins,Turbo Cool, Self Clean Technology (IA518ZXUS, White))"/>
        <s v="Sharp 1 Ton 3 star, New Star Rated,Split AC (4 Way Swing, 100% copper, Hi-Tech Inverter Compressor, 7in1 Convertible, Turbo cool, Dust filter) - AH-SI12V3B-GCN, White"/>
        <s v="Samsung 1 Ton 3 Star,New Star rated Bespoke AI Inverter Smart Split AC (WiFi, Energy Saving, Voice Control, Powerful Cooling, Copper, Digital Inverter, 4 Way swing, white, AR50H12D1LHNNA)"/>
        <s v="Godrej 1 Ton 3 Star,New star rated,5 Years Comprehensive Warranty,AI Powered, 5-In-1 Convertible Cooling, Inverter Split AC (Copper,Model,Heavy duty cooling at 52 Â°C, AC1T EI 12PINV3R32 WYQ 3S,White)"/>
        <s v="Daikin 1.0 Ton 3 Star, New Star rated, Inverter Split AC (Copper, PM2.5 Filter, MTKL35XV16, White)"/>
        <s v="Whirlpool 1.5 Ton 5 Star, Magicool Inverter Split AC (MAGICOOL 15T 5S INV CNV S5K2PP0, Copper, Convertible 4-in-1 Cooling Mode, HD Filter White)"/>
        <s v="Panasonic 1.5 Ton 5 Star, New star rated,Inverter Premium Window AC (Top Throw Airflow, 50Â°C Oper., Copper Cond., 8in1 Convertible, 4-Way, PM0.1 Filter, ECO Mode, Powerful Mode, CW-XU185CGT, White)"/>
        <s v="Voltas 185V Vectra CAR 1.5 ton 5 star,New star rated, inverter Split AC|4-IN-1 Adjustable modeHigh ambient Cooling-cools even at 52Â°C|Anti dust filter with Anti-microbial coating|Copper Coil|White"/>
        <s v="Hitachi 1.5 Ton 3 Star Hot &amp;amp; Cold Inverter Split AC with Expandable Technology (100% Copper, Dust Filter, 3100HP RSQG318HGXA, White)"/>
        <s v="Carrier 1.5 Ton 5 Star, New Star rated, Flexicool Inverter Split AC (Copper, Convertible 6-in-1 with Smart Energy Display, Insta Cool, Auto Clean and PM 2.5 Filter, ESTER EDGE Gxi-CAI18EE5R36F0, White)"/>
        <s v="Panasonic 2.0 Ton 4 Star New Star rated Premium WiFi Inverter Smart Split AC (DustBuster Tech,Matter Enabled,AI,Higher Airflow, Copper Cond., 8in1 Convertible,4-Way,PM0.1 Filter,CS/CU-NU24BKY4W,White)"/>
        <s v="Hitachi 1.5 Ton 5 Star, New star rated, Inverter Split AC (Copper,Wi-Fi, 4 Way Swing, Hybrid Convertible, ice Clean cooling, Anti-bacterial Mesh Filter,RAS.V518PCDIBM1, White)"/>
        <s v="Samsung 1.5Ton 5Star,New Star rated, Bespoke AI Inverter Smart Split AC (Wifi, Energy Saving, Voice Control, Powerful Cooling, Copper, Digital Inverter, 4 Way swing, White,AR50H18D1NHNNA)"/>
        <s v="IFB 1.5Ton 5Star,New star rated,AI Powered Inverter Split Air Conditioner,Hybrid Mode, 8in1 Flexi Mode,Heavy Duty Compressor,Self Clean, Dual Gold Fins,100% Copper Tubes,CI195GD32RGM3, white"/>
        <s v="Carrier 2 T 5Star,New Star rated,Wi-Fi Smart Flexicool Inverter Split AC(Copper,Convertible6-in-1withWi-Fi with Geo-Fencing,Smart EnergyDisplay,New star Rating,ESTER EDGE Gxi WiFi-CAI24EE5R36W1,White)"/>
        <s v="Hitachi 1.5 Ton 5 Star, New star rated, Xpandable+ Inverter Split AC (100% Copper, Smart Display, 4-Way Swing, ice Clean, Dust Filter, 5400STXL RAS.G518PCCIBT, White)"/>
        <s v="Samsung 1.5 Ton 3 Star,New Star rated, Bespoke AI Inverter Smart Split AC (WiFi, Energy Saving,Voice Control,Powerful Cooling,Copper, Digital Inverter, 4 Way swing, White, AR50H18D13HNNA)"/>
        <s v="Blue Star 2 Ton 3 Star, New Star Rated, Smart Inverter Split AC (Copper,4-Way Swing, DigiQ Hepta Sensor, Blue Fins,Turbo Cool, Self Clean Technology (IA322DXU, White)"/>
        <s v="Lloyd 1.5 Ton 5 Star Inverter Split AC, 2026 New Star Rated (6 in 1 Convertible, Cools Up To 54Â°C, DG Mode, Ice Clean, Smart 4 Way Swing, Turbo Cool, Installation Check, White, GLS18I5AGGGW)"/>
        <s v="LG 1 Ton 5 Star, New star rated, Smart Inverter Split AC (Copper, AI Convertible 6-in-1 Cooling, Faster Cooling &amp;amp; Energy Saving, HD Filter with Anti-Virus Protection, Him Clean, AS-Q14YNZE, White)"/>
        <s v="SWANKK WiFi Mini Hidden Spy Camera, 1080P HD, Night Vision, Motion Detection, Wireless Indoor Nanny Cam with Remote Viewing"/>
        <s v="Toy Imagine Kids Digital Camera Toy 3.0MP 1080P Video Camera with 2-Inch Screen &amp;amp; 32GB Capacity USB Rechargeable with Games,Filters,Time-Lapse Educational Birthday Gift for Boys &amp;amp; Girls Age 3â€“12(Blue)"/>
        <s v="Cason 48MP Digital Camera for Kids &amp;amp; Adults -Real Photo &amp;amp; Video Mini Camera for Photography 2.4â€ Rotating Screen, Built in Games Kids Cameras for 5-15 Years Girls &amp;amp; Boys with 8 GB Sd Card (Pink)"/>
        <s v="TECHNOVIEW Full HD Wi-Fi Wireless Security Camera 1080p Audio Video Live View Low Light Vision Motion Detection Video Recorder for Home Office. (IP Camera)"/>
        <s v="Storio Kids Digital Camera Toy 3.0MP 1080P HD Video Camera with 2-Inch Screen | USB Rechargeable Mini Camera | Educational Toy &amp;amp; Birthday Gift for Boys &amp;amp; Girls Age 3â€“12 | Supports 32GB SD Card - Blue"/>
        <s v="CP PLUS 2MP Full HD Wi-Fi CCTV Camera for Home with Motion Tracking | Smart Detection Suite | Night Vision | Cloud Recording | View &amp;amp; Talk | Supports OK Google | CTC Cyber Secure | CP-E25Q"/>
        <s v="Codnida Spy Camera Pen HD Video Recording with Audio | Hidden Recording Pen for Meetings &amp;amp; Security | Portable Pen Camera with Long Battery Life | Discreet Spy Pen Camera for Indoor &amp;amp; Outdoor Use"/>
        <s v="CP PLUS 3MP Resolution Smart Wi-fi CCTV Home Security Camera | 360Â° View | Motion Tracking | 2-Way Talk | Cloud &amp;amp; SD Card Support | CTC Cyber Secure Tech | 15M Night Vision | CP-E31Q"/>
        <s v="Dr Vision 5MP Indoor WiFi Smart CCTV Camera for Home | 1080p HD | Color Night Vision | Motion Detection | Two Way Audio | Wireless Home Security Camera with Mobile App V380 Pro (CV Dual Lens)"/>
        <s v="Qubo Smart Cam 360Â° 3MP [2026 Edition] by Hero Group | STQC Certified | AI Person Detection | Intruder Alarm | Color Night Vision | Two-Way Talk | Records Directly on Cloud | No SD Card Required"/>
        <s v="Kids Digital Camera | 1080p Video &amp;amp; 3.0MP Photos | 2-Inch Screen, USB Rechargeable &amp;amp; Portable | Fun Mini Toy Camera for Boys &amp;amp; Girls Age 3â€“10 | Educational Birthday Gift"/>
        <s v="CP Plus 2.4MP IR Wired Bullet Outdoor Camera CP-URC-TC24PL3 Compatible with DVR only | 3.6mm Lens | 30 Meter Black &amp;amp; White Night Vision | IP67 | Analog HD CCTV Camera, White"/>
        <s v="DDLC 5MP Indoor WiFi Smart CCTV Camera for Home | 1080p HD | Color Night Vision | Motion Detection | Two Way Audio | Wireless Home Security Camera with Mobile App V380 Pro (Upro Dual Lens)"/>
        <s v="Canon EOS R100 24.1 MP Mirrorless Camera (Black) with RF-S18-45mm f/4.5-6.3 is STM Optical Zoom Lens | 4k Video"/>
        <s v="DJI Osmo Action 4 Standard Combo - 4K/120Fps Waterproof Action Digital Camera with A 1/1.3-Inch Sensor, 10-Bit &amp;amp; D-Log M Color Performance, Outdoor Digital Camera for Travel, Biking"/>
        <s v="CADDLE &amp;amp; TOES Kids Camera for Girls Boys,Kids Selfie Camera 13MP 1080P HD Digital Video Camera for Toddler,Christmas Birthday Gifts for 4+ to15 Years Old Children (Pink)"/>
        <s v="CP PLUS 2.4MP Full HD IP Indoor Wired Dome Camera CP-URC-DC24PL3 Compatible with DVR only | 30 Meters IR Black &amp;amp; White Night Vision | 3.6mm Lens | Motion Detection, White"/>
        <s v="CP PLUS 4MP Quad HD Smart Wi-Fi CCTV Camera | 360Â° Pan &amp;amp; Tilt | Press to Call | CTC Cyber Secure Tech | Smart Detection Suite | View &amp;amp; Talk | IR Night Vision | Cloud Recording | OK Google | CP-E44Q"/>
        <s v="Sony Alpha ZV-E10K (Previously ZV-E10L) with Upgraded SELP1650 (Ver 2) Power Zoom Lens | 24.2 MP Interchangeable-Lens Mirrorless vlog Camera, Made for Creators |APS-C Sensor 4K Movie Recording-Black"/>
        <s v="CP PLUS 3MP Smart Wi-Fi CCTV Camera | 360Â° Pan &amp;amp; Tilt | CTC Cyber Secure Tech | View &amp;amp; Talk | Smart Detection Suite | Night Vision | Cloud Storage | Supports OK Google | CP-E35Q"/>
        <s v="Toy Imagine Kids Digital Camera 1080p Video &amp;amp; 5.0MP Photos 2-Inch Screen, USB Rechargeable &amp;amp; Portable Fun Mini Toy Camera for Boys &amp;amp; Girls Age 3â€“10 Educational Birthday Gift(Blue)SD Card Not Included"/>
        <s v="WiFi Camera 360Â° Security Camera for Home Outdoor High HD Magnet Mini Spy WiFi Magnetic Live Stream Night Vision IP Wireless 1080P Audio Video Hidden CCTV Magne"/>
        <s v="Qubo Smart 360Â° 3MP [2K] Wi-Fi Security Camera [2026 Edition] by Hero Group | Indoor CCTV Cam for Home | STQC Certified | AI Person Detection | Color Night Vision | SD&amp;amp;Cloud Storage (Pack of 2)"/>
        <s v="insta360 X3 Action Camera, 1/2&amp;quot; Sensor, 5.7K 360 Capture, Optical Zoom 3X, 72 MP 360 Photo, 4K Single Lens Mode, Black"/>
        <s v="DJI Osmo Action 5 Pro Standard Combo, Waterproof Camera with 1/1.3&amp;quot; Sensor, 4K/120fps Video, Subject Tracking, Stabilization, Dual OLED Touchscreens, Action Camera 4K Ideal for Sports, Vlog"/>
        <s v="Maizic Smarthome Dual Lens Mini Fox | 5+5MP WiFi CCTV Camera with PTZ &amp;amp; Fixed View | AI Motion Detection, Color Night Vision, Two-Way Audio, 360ï¿½ Coverage, App Remote Access"/>
        <s v="DDLC 5MP Indoor WiFi Smart CCTV Camera for Home | 360Â° Pan Tilt | Color Night Vision | Motion Detection | Two Way Audio | Wireless Home Security Camera with Mobile App V380 Pro (Upro Dual Lens)"/>
        <s v="1080P Body Camera Pen [Upgraded 2026] â€“ Body Cam with HD Video or Picture Taking, SD Card Storage, and Manual Control for Privacy Compliance"/>
        <s v="Qubo Smart 360Â° 3MP [2K] CCTV Camera | Wi-Fi Indoor Home Security Cam | STQC Certified | AI Person Detection | Automatic Alarm | App Alerts | NightPulse Vision | SD &amp;amp; Cloud Storage | Made in India"/>
        <s v="Sony New Alpha ILCE-6100X (Previously ILCE-6100Y) with Upgraded SELP1650 (Ver 2) Power Zoom Lens + SEL55210 Lens | 24.2 MP | APS-C Sensor | Fast Auto Focus | Tiltable LCD â€“ Black"/>
        <s v="DJI Osmo Pocket 3 Creator Combo, Vlogging Camera with 1&amp;#x27;&amp;#x27; CMOS &amp;amp; 4K/120fps Video, 3-Axis Stabilization, Face/Object Tracking, Fast Focusing, Mic Included for Clear Sound, Small Camera for Photography"/>
        <s v="Fujifilm X-M5 26.1MP APS-C X-Trans CMOS 4 with 15-45 f/3.5-5.6 Lens|Retro Style mirrorless Compact Travel Camera|6.2k vlogging|High Speed Recording FHD 240fps|Advance AF for Street/Lifestyle - Silver"/>
        <s v="Waitbird USB Charger Mini Hidden Camera 1080p Full HD Plug &amp;amp; Play Spy Cam | Secret Camera for Home Hidden &amp;amp; Office Use | Mini Spy Camera Works While Charging | Supports 256GB â€“ Security Surveillance"/>
        <s v="KODAK PIXPRO AZ405-BK 20MP Digital Camera 40X Optical Zoom 24mm Wide Angle Lens Optical Image Stabilization 1080P Full HD Video 3&amp;quot; LCD Vlogging Camera (Black)"/>
        <s v="JB Supar 6MP Smart WiFi Dual Lens Outdoor PTZ CCTV Camera | 360Â° View | Full HD | Color Night Vision | Two Way Audio | Wireless Home Security Camera with Mobile App V380 Pro (Dual Lens PTZ)"/>
        <s v="Godrej Security Solutions EVE Pro 3 Indoor Wi-Fi CCTV Camera | New Launch | 3MP Night Vision | 360 View | Human Detection &amp;amp; Motion Tracking | 2-Way Talk | Up to 256GB SD Card Support"/>
        <s v="Leica SL2-S Mirrorless Digital Camera with Vario-Elmarit-SL 24-70 f/2.8 ASPH Lens (Bundle)"/>
        <s v="Kids Instant Print Camera â€“ Mini Digital HD Photo &amp;amp; Video Camcorder with Games | Fun Learning Toy for Boys &amp;amp; Girls Ages 4-18 | Includes 2 Print Rolls â€“ Ideal Gift for Kids (Blue)"/>
        <s v="Sony Alpha ILCE-6400M 24.2MP Mirrorless Digital SLR Camera (Black) with 18-135mm Zoom Lens | APS-C Sensor |Real-Time Eye Auto Focus | 4K Vlogging Camera | Tiltable LCD - Black"/>
        <s v="Sony Alpha ILCE-7RM4A Full-Frame 61.0MP Mirrorless Digital SLR Camera Body (4K Full Frame, Real-Time Eye Auto Focus, Real time Animal Eye AF, Tiltable LCD) - Black"/>
        <s v="DDLC 4+4MP Smart WiFi PTZ CCTV Camera for Home Indoor | 360Â° Pan &amp;amp; Tilt | Color Night Vision | Motion Detection | Two-Way Audio | Wireless Security Camera with Mobile App V380 Pro"/>
        <s v="HIKVISION 2Mp Indoor Wired Color Camera for Dvr Ds-2Ce5Ad0T-Itp Eco Bnc/Dc, White - 1080P"/>
        <s v="Canon EOS R10 24.2MP RF-S18-150 F/3.5-6.3 IS STM Mirrorless Camera (APS-C Sendor, 4K UHD Video) for Wedding &amp;amp; Content Creators - Black"/>
        <s v="Digital Cameras for Photography - 5K 75MP Vlogging Camera for YouTube WiFi - UHD Autofocus Vlog Camera 3&amp;quot; 180Â° Flip Screen with 18X Zoom - Travel YouTube with 32GB SD Card, 2 Batteries (CAM25)"/>
        <s v="Canon EOS R5 C Mirrorless Digital Camera - Black - Kit with RF24-70mm F2.8 L IS USM Lens"/>
        <s v="Canon EOS R1 24.2 MP Full-Frame Mirrorless Camera Body Only (6K RAW &amp;amp; 4K 120p Video) - Black"/>
        <s v="DDLC 4MP Wireless PTZ Security Camera for Home Outdoor | Dual Antenna | 360Â° Pan Tilt | Night Vision | Two-Way Audio | Motion Detection | WiFi CCTV Camera with Mobile App V380 Pro (Mini PTZ)"/>
        <s v="OBSBOT Tiny 2 Lite AI-Powered 4K PTZ Webcam with AI Tracking, 1/2â€³ Sensor, 1080p@60FPS HDR, Gesture Control, Dual Microphones, Auto Focus | Webcam for PC, Laptop, Streaming, Meetings &amp;amp; Video Calls"/>
        <s v="Storio Rechargeable Pocket Video Game for Kids 400 in 1 Retro Game Box Console Handheld Game Box with TV Output - Multicolor"/>
        <s v="POWERNRI 2026 4K Gaming Console for TV | 20000+ Built-in Games | Wireless Dual Gamepads | Plug &amp;amp; Play Games| Family Fun Entertainment"/>
        <s v="500 in 1 Handheld Game Console for Kids | Retro Video Game Player with Rechargeable Battery, TV Output, Portable Pocket Gaming Device with Controller | Classic Arcade Games for Boys &amp;amp; Girls"/>
        <s v="TOYTONIC Rechargeable Pocket Video Game Console for Kids 400-in-1 Retro Handheld Gaming Device with Built-in Classic Games, TV Output Support(Color Assorted)"/>
        <s v="TOYTONIC R36S Retro Emulator Handheld Video Game Console, Built-in 22,000+ Games, 3.5 Inch IPS HD Screen,Up to 6 Hours Play Time,Rechargeable Portable Gaming Device,Gift for Boys &amp;amp; Girls (Assorted)"/>
        <s v="TOYTONIC Handheld Gaming Console for Kids &amp;amp; Adults | 520 Classic Built-in Games | Retro Video Game Player | Portable, Rechargeable, TV Output | Toy &amp;amp; Gift for Boys Girls Ages 6-14 | Mini Game Box"/>
        <s v="2026 New 4K TV Game Con-Sole | Plug &amp;amp; Play R-etro Gaming Console with 2 Wireless Controllers | HDMI Video Game System for Kids &amp;amp; Family | ( Limited Kids Edition 2026 ) (NEW Limited Stock)"/>
        <s v="2026 4K HDMI Gaming Console for TV, Plug and Play Video Game System with 2 Wireless Controllers, Built-in Retro Games, Family Entertainment for Kids &amp;amp; Adults (Special Edition 2026)"/>
        <s v="Wireless Retro Gaming Console for TV | HDMI Game Stick | Plug &amp;amp; Play | Dual Wireless Controllers | Classic Arcade Style Games | Family Gaming | Black"/>
        <s v="2026 New 4K TV Game Con-Sole | Plug &amp;amp; Play R-etro Gaming Console | HDMI Retro Game Stick with Dual Wireless Controllers | Plug &amp;amp; Play Family Entertainment Device (Standard Edition)"/>
        <s v="Domenico Retro Handheld Gaming Console, Video Game for Kids, SUP Game 3 Iinch Display, 400 Games, TV Compatible, Gaming Console for Kids and Adults (Color As Per Availability)"/>
        <s v="EWDGOES R36S Handheld Game Console 3.5 inch Preinstalled Emulator System White 32GB+64GB"/>
        <s v="GS5Pro Retro Gaming Console - Wireless Controller Gamepad- 1080P HD Graphics, 64GB Storage,Video Game TV Stick for All Ages"/>
        <s v="SmartcamÂ® Retro Handheld Gaming Console for Kids &amp;amp; Adults | 520+ Built-in Classic Video Games | Portable Rechargeable Mini Game Player | TV Output | Gift for Boys &amp;amp; Girls Ages 6â€“14"/>
        <s v="TOYTONIC Portable Retro Handheld Game Console for Kids | 3.5&amp;quot; Color Screen Classic Gaming with Preloaded 620 Games | Built-in Power Cell, TV Output | Video Games Player ð‹ð¢ð¦ð¢ð­ðžð ð“ð¨ððšð²"/>
        <s v="R36 Ultra Retro Handheld Game Console-2025 Model with 128GB, 4-Inch IPS Screen, Over 30K Games Mini Video Games Console, Supports 23 Emulators, Linux-Based Retro Gaming Console (White)"/>
        <s v="TOYTONIC Retro Handheld Gaming Console for Kids &amp;amp; Adults â€“ 666-In-1 Built-in Classic Video Games â€“ Rechargeable Game Console for Boys 7-14 Years â€“ TV Output â€“ Portable Toy Gift"/>
        <s v="Toy Imagine Retro Handheld Gaming Console for Kids | Portable Mini Gamepad with Builtin Screen | 520 Classic Games | Perfect Pocket Toy for Boys | Ideal for Ages 6+ | Inspired Fun"/>
        <s v="NextTech UHD Retro Handheld Game Console | Built-in Classic Games | Mini Portable Video Game Player for Kids &amp;amp; Adults | Plug &amp;amp; Play Gaming Device | Random Color"/>
        <s v="Cubonic Rediscover Gaming Magic VividGo Mi7 â€“ Sleek Handheld Console, Huge 20k+ Game Library &amp;amp; Immersive HD Screen LED Display, 23+ Emulators, 64GB Storage, Rechargeable Battery (4.3, Inches)"/>
        <s v="SNAPTRON Handheld Gaming Console for Kids &amp;amp; Adults| G7 Retro Game Console| 666-In-1 Built-in Classic Video Games| Portable Gaming Console| Rechargeable Game Console for Boys 7-14 Years| Retro Game Box"/>
        <s v="DOMENICO Wireless video games for tv gaming Retro gaming console with Game Stick Plug &amp;amp; Play TV Video Game Set for 2 player with 15Emulator for Kids &amp;amp; Old School Station Video Game - Black"/>
        <s v="TOYTONIC G5 Handheld Game Console for Kids, Retro Gaming Device with 3.0&amp;quot; HD Screen, Built-in 500 Classic Games, AV Output, Random Color â€“ Portable Game Player for Boys &amp;amp; Girls, Multicolour"/>
        <s v="SMARTCAM M15 Game Stick 22000+ INBUILT Video Game Console Retro Classic 3D 4K Full HD with 2 Wireless Gamepad Plug &amp;amp; Play Video Game 64GB"/>
        <s v="Maizic GS5 Pro 4K Retro Gaming Console | 30,000+ Games Built-in | 53 Emulators | Wireless HDMI Plug &amp;amp; Play Game System for TV, PC, Projector | Includes 2 Wireless Controllers"/>
        <s v="TOYTONIC Portable Retro Handheld Game Console for Kids | Classic Gaming with Preloaded 620 Games | 3.5&amp;quot; Color Screen, Built-in Power Cell, TV Output | Video Games Player ð‹ð¢ð¦ð¢ð­ðžð ð“ð¨ððšð²"/>
        <s v="New 2026 Upgraded 4k TV Video Game Gaming System, Plug &amp;amp; Play Video TV Games HD with Wireless 2 Controllers for Men/Women/Girls/Boys/Adult/Kids"/>
        <s v="NextTech P5 4K Retro Game Console | Portable Handheld Gaming Device | Built-in Classic Games | HDMI TV Output | Plug &amp;amp; Play Video Game Stick for Kids, Adults &amp;amp; Family Entertainment"/>
        <s v="VikriDA Handheld Game Players | 4.3In X7 Video Game Console | Double Rocker 8GB Memory Built in 10000 Games MP5 Multifunctional Inbuilt Camera"/>
        <s v="GSH Wireless 4K Video Game Console Stick with built-in Retro Classic Games + Gamepads"/>
        <s v="VikriDA G5 500-in-1 Retro Handheld Game Console for Kids â€“ 2 Players Classic TV-Compatible Game Box with Controller â€“ Multicolor"/>
        <s v="Zepplay Retro Game Stick 4K Plug &amp;amp; Play HDMI Console for TV | 21,000+ Preloaded Retro-Style Games | Dual Wireless Controllers | 64GB Card | Gaming Console for Kids &amp;amp; Family Entertainment"/>
        <s v="ZORBESÂ® Hard EVA Carrying Case for Retro Handheld Game Console, Shockproof Protective Travel Storage Bag Portable Retro Gaming Console Case with Mesh Pocket &amp;amp; Wrist Strap"/>
        <s v="ASUS ROG XBOX Ally (2025), AMD Ryzen Z2 A Processor,16GB RAM, 512GB SSD, 7&amp;quot;/17.8cm, FHD, Touchscreen,120Hz, 500 nits, Windows 11 Home, White, 670g, RC73YA-NH010W,AMD Radeon Graphics,Gaming Handheld PC"/>
        <s v="400 in 1 Handheld Game Console for Kids | 3.0 Inch Screen | Rechargeable Battery | TV Output | 2 Player Retro Gaming Console"/>
        <s v="J36 Ultra Handheld Gaming Console with | WiFi &amp;amp; YouTube |3.5 Inch IPS HD Display, 64 GB, 30,000+ Games, Rechargeable Battery 20+ Emulator Hand Video Game, RGB joystick lighting, Built-in YouTube support (Orange)"/>
        <s v="POWERNRI 2026 Classic Game Box R36S Handheld Gaming Console with 10000+ Retro Games, 3.5&amp;quot; Display, Dual Joysticks, Rechargeable Battery for Kids &amp;amp; Adults"/>
        <s v="Goyal&amp;#x27;s 500 in 1 - TV Compatible Classical Handheld G5 Video Games for Kids with Many Fun and Exciting Games - Multicolour (Big Screen - 2.8 Inches)"/>
        <s v="Casaquin R36S Retro Handheld Gaming Device, 64GB Storage with 15000+ Built-in Games, 3.5 Inch IPS Screen, Portable Linux Gaming System, Rechargeable Battery"/>
        <s v="VGRASSP Two Player 400 in 1 Handheld Video Game Console for Kids â€“ Retro Portable Console with Built-in Classic Games, Rechargeable Battery, Gift for Boys &amp;amp; Girls - Multicolor"/>
        <s v="R36MAX Retro Handheld Game Console, 4.0 inch IPS Screen, More Than 20 Emulator and 18000+ Games, Portable Hand Held Open Source Linux System Video Game Console (128Gb Translucent Blue)"/>
        <s v="2025 New Edition | Wireless for TV HDMI Gaming Plug &amp;amp; Play Video Game 4K HD Game Stick| Wireless Stick with Game Built-in 22,000+ Games &amp;amp; 64Gb, 23 Emu. TV Gaming Console 5 Years to 17 Years (Kids)"/>
        <s v="Parteet Rechargeable Pocket Video Game for Kids 400 in 1 Retro Game Box Console Handheld Game Box with TV Output - (Color and Design Will be Send as per Stock)"/>
        <s v="J36 Ultra Handheld Gaming Console with | WiFi &amp;amp; YouTube |3.5 Inch IPS HD Display, 64 GB, 30,000+ Games, Rechargeable Battery 20+ Emulator Hand Video Game, RGB joystick lighting, Built-in YouTube support (Black)"/>
        <s v="XF40H Handheld Game Console, 64GB Retro Gaming Device with 4.0 Inch 4K HD IPS Screen, 20000+ Preloaded Games, Linux System, Inbuilt WiFi (Black)"/>
        <s v="2026 Wireless TV Game Console Stick 4K, with Built-in 9+ Emulators, 21,000+ Games, 4k Hdmi Output &amp;amp; 2.4GHz Controller, Nostalgic Gaming I Retro Game I (for All Kids Edition)"/>
        <s v="Domenico Retro Handheld Gaming Console, Video Game for Kids, 3 Iinch Display, 400 Games, TV Compatible, Gaming Console for Kids and Adults (Color As Per Availability)"/>
        <s v="Retro Gaming Console R36S Handheld with 10000+ Preloaded Games, 3200mAh Battery, 4K Ultra HD Output, Portable Game Box for Travel &amp;amp; Home"/>
        <s v="Cubonic VividGo MI7 Portable Gaming Console, All-in-One Gaming Powerhouse, 4.3-Inch HD Display, 20000+ Pre-Installed Games, Dual Joysticks, Expandable Storage, Multimedia Hub"/>
        <s v="VikriDA G7 Retro 3.5-Inch LCD Color Screen Handheld Game with Gamepad Support Console Mini Ultra-Thin 666 Built-in Games Player Gift for Kids - Multicolor"/>
        <s v="NextTech 2026 Retro Handheld Console with 3.5&amp;quot; HD Display | Plug &amp;amp; Play Portable Gaming Device | Built-in Classic Arcade Games | Compact Mini Game Console for Kids, Teens &amp;amp; Adults"/>
        <s v="POWERNRI X7 Handheld Game Console with 10000+ Built-in Retro Games, Portable PSP Style Gaming Device, 8GB Memory, MP5 Multimedia Player for Kids &amp;amp; Adults"/>
        <s v="Casaquin GS5 Pro 4K Retro Video Game Console for TV | 22,000+ Built-in Games | 23 Emulators | Plug &amp;amp; Play Gaming Stick | Dual Wireless Controllers | 4K Ultra HD HDMI Game Console for Kids &amp;amp; Adults"/>
        <s v="VGRASSP Two Player 400 in 1 Handheld Video Game Console for Kids â€“ Retro Portable Console with Built-in Classic Games, Rechargeable Battery, Gift for Boys &amp;amp; Girls - Color As Per Stock"/>
        <s v="Cubonic CrystalPlay R36S Retro Gaming Console, Transparent PixelGlass, 3.5-Inch LCD Screen, RK3326 Quad-Core, 15000+ Games, Dual Joystick, Support MAX 256GB Storage, 3000mAh Battery (black)"/>
        <s v="gamesoul R50S Retro Game Console, 5 Inch Emulator System, 64 GB, 15000+ Preinstalled Video Games"/>
        <s v="Maizic Smarthome G5 500 in 1 Retro Game Box Only for 1 Player, 3 Inch Display, Mini Handheld Classic Games, Built-in Games Rechargeable, Portable, Video Game for Kids (Green)"/>
        <s v="SMARTCAM 3.0 Inch Portable Handheld Video Game Console with Preloaded Games, Slim Gaming Player for Kids, Fun Gift Option"/>
        <s v="New World Rechargeable Pocket Video Game for Kids, Retro Video Game Box Handheld Console Game Box with TV Output"/>
        <s v="CHG Handheld Video Game Console for Kids, Built-in Retro Games | 400 in 1 Console | Indoor Games for Kids Ages 7 to 15 | Gift for Boys and Girls | Portable Fun for Travel and Home"/>
        <s v="VGRASSP 400 in 1 Mini Video Game Toy for Kids - Portable Retro Handheld Game Console with Rechargeable Battery - AV Output TV Compatible - Color and Design As Per Stock (Modern) (Classic)"/>
        <s v="Smartcam R36S Handheld Gaming Console with 3.5â€ HD Screen | 15000+ Retro Games | 21 Emulators | Dual Joystick | 3500mAh Battery | Save &amp;amp; Load | Portable Retro Game Player"/>
        <s v="Kidsmate Handheld Gaming Console Video Game for Kids with 666 Built-in Retro Games | Rechargeable Battery, Compact Design with TV Connectivity for Big Screen Play | Ideal for Fun &amp;amp; Learning (Green)"/>
        <s v="(New) Wireless Retro Game Console Stick 4K Stick with Built-in 9+ Emulators 21,000+ Games, 4k Hdmi Output &amp;amp; 2.4GHz Wireless Controller, Retro Game Emulators, Plug &amp;amp; Play TV Video Games for All"/>
        <s v="M22 Special Edition Retro Gaming Console - Wireless Controller Gamepad- 1080P HD Graphics, 64GB Storage,Video Game TV Stick for All Ages"/>
        <s v="Cubonic 7&amp;quot; Full HD Screen Linux System Retro Handheld Gaming Console 64GB Storage, Support 30+ Emulator Games with HDMI Output Wireless Dual Remote Controller (White)"/>
        <s v="Cubonic Mi7 Portable Gaming Console, Beige, 4.3&amp;quot; HD Display, 20000+ Preloaded Retro Games, Built-in Stereo Speakers, Expandable Storage, Classic Controls, Long Battery Life (VividGo Mi7)"/>
        <s v="Enter Usb Game Pad With Vibration E-Gpv, PC, Gamepad"/>
        <s v="400 in 1 Mini Retro Handheld Game Console for Kids, Portable Video Game Toy with Rechargeable Battery, AV Output TV Compatible Classic Arcade Gaming Device (Multicolour)"/>
        <s v="New 2025 Edition R36S Handheld Console Video Game | HD Screen | Portable &amp;amp; Rechargeable | Built-in 15000+ Games &amp;amp; 64 GB | 20 Emulators | Video Games for All Age Group, Purple"/>
        <s v="G90 7-Inch Full HD Handheld Video Game Console with 21+ Emulators, 64GB Preloaded Games, Wireless Gaming Controller, Professional Gaming Chip, Portable Retro Arcade Gaming Console for Kids &amp;amp; Adults (Red &amp;amp; Blue)"/>
        <s v="Gagon Traders Handheld Gaming Console for Kids &amp;amp; Adults | 520 Classic Built-in Games | Retro Video Game Player | Portable, Rechargeable, TV Output | Toy &amp;amp; Gift for Boys Girls Ages 6-14 | Mini Game Box"/>
        <s v="VGRASSP 400 in 1 Handheld Video Game Console for Kids â€“ Retro Portable Console with Built-in Classic Games, Rechargeable Battery, Gift for Boys &amp;amp; Girls - Multicolor"/>
        <s v="HZ New 2025 Edition R36S Handheld Console Video Game | HD Screen | Portable &amp;amp; Rechargeable | Built-in 15000+ Games &amp;amp; 64 GB | 20 Emulators | Games for All Age Group (Colour As Per Stock)"/>
        <s v="Handheld Game Console HN-R36S , 15k+ Gamees 3.5-inch IPS Display, 64GB Storage, 1 Ram Chip (1GB) 8+ Hour Battery Life (Purple)"/>
        <s v="Nex Playground Game System, Indoor Family Game Night, Fun Games &amp;amp; Physical Play, Unique AI-Powered Motion Tracking Video Game Console, Transforms Living Room into a Family or Party Games Space"/>
        <s v="Sameo Handheld Video Game Console, Dreamboy Retro Mini Game with 500 Classic Retro Game TV Compatible for Kids, Rechargeable 8 Bit Classic (Ice Green)"/>
        <s v="Sameo iPlay+ 32 Bit Motion TV Video Game Console With All New Motion Gun with 1056 Built in Games 33 Motion Sports Games,34 Puzzle Games, 69 Casual Game, 20 Shooting Game"/>
        <s v="G90 7-Inch Full HD Handheld Video Game Console with 21+ Emulators, 64GB Preloaded Games, Wireless Gaming Controller, Professional Gaming Chip, Portable Retro Arcade Gaming Console for Kids &amp;amp; Adults (Black)"/>
        <s v="Sameo Thunder NX Handheld Game Console â€“ 64GB 15000+ Games 4.5â€ IPS Display Retro Gaming Dual-Core"/>
        <s v="PICSTAR GS5 Pro Classic TV Video Game Console with 30000 Games and 1080 Output with 53 Simulators for PSP Games"/>
        <s v="NextTech 4K Plug &amp;amp; Play Retro Gaming Console | Built-in Classic Games | HDMI TV Compatible Game Stick | Dual Wireless Gamepads | Perfect Family &amp;amp; Kids Entertainment Device"/>
        <s v="R36MAX Retro Gaming Console, Handheld Game Console with 4000mAh Battery 4.0â€IPS Screen, Open Source Linux System, 64GB TF Card Portable Pocket Arcade, Transparent Black"/>
        <s v="LEROKAS J36 Ultra Handheld Gaming Console, Portable Retro Game Player, RGB Dual Joysticks, Orange"/>
        <s v="Gagon Traders 8 Bit TV Video Game Console with 2 Controllers, Gun, AV Cable, Adapter, Grey, Retro Gaming System With Two Free Cassettes"/>
        <s v="PICSTAR GS5Pro Retro Gaming Console - Wireless Controller Gamepad- 1080P HD Graphics, 64GB Storage,Video Game TV Stick for All Ages"/>
        <s v="iNext INT-333 Retro Gaming Console - 98,800 Pre-Installed Games | Plug &amp;amp; Play | HD Output | 1 Player &amp;amp; User vs. Computer Mode | for Kids, Adults &amp;amp; Family Entertainment"/>
        <s v="Endzone Video Games For Kids 520 in 1 Controller Gamepad Video Game, Retro Gaming Console, Gameboy Age 7, Digital Game Player, Pocket Gamer, Handheld Gaming Console,"/>
        <s v="R36S Retro Handheld Video Game Console 3.5 inch Retro Handheld Video Games Consoles Built-in Rechargeable Battery Portable Style Hand Held Game Consoles"/>
        <s v="New 2026 PoweNri M8 Retro Game Console HDMI for TV | Plug &amp;amp; Play Gaming Stick with Wireless Controllers | 1080p HD Display | 2 Player Support | Compact Gaming Device | Black"/>
        <s v="BELOXY Handheld Gaming Console for Kids &amp;amp; Adults | 520 Classic Built-in Games | Retro Video Game Player | Portable, Rechargeable, TV Output | Toy &amp;amp; Gift for Boys Girls Ages 6-14 | Mini Game Box"/>
        <s v="BELOXY Handheld 400 in 1 Video Game for Kids, Rechargeable Game Box with TV Output &amp;amp; with Gaming Console Style 3, Red"/>
        <s v="VOILA M33 Retro Gaming Console, Video Game Console for TV, Gaming Controller, Games Stick, Ultimate 90s Gamepad. 4k HD, 64GB. CE, ROHS, and BIS Certified, Original Unit"/>
        <s v="New World an/bernic RG35XX H Retro Handheld Game Console 3.5 in IPS Screen Built-in 3300mAH Battery 64G TF Card , Classic Games Console (Black)"/>
        <s v="Wireless Gaming Console Set compatible with GS5 Style, White and Black, 2 Controllers with USB Dongle Included"/>
      </sharedItems>
    </cacheField>
    <cacheField name="Category" numFmtId="0">
      <sharedItems/>
    </cacheField>
    <cacheField name="Product_Price" numFmtId="164">
      <sharedItems containsString="0" containsBlank="1" containsNumber="1" minValue="139" maxValue="1117486"/>
    </cacheField>
    <cacheField name="Original_Price" numFmtId="164">
      <sharedItems containsString="0" containsBlank="1" containsNumber="1" minValue="399" maxValue="1409912"/>
    </cacheField>
    <cacheField name="discount" numFmtId="0">
      <sharedItems containsString="0" containsBlank="1" containsNumber="1" minValue="1E-3" maxValue="0.93500000000000005"/>
    </cacheField>
    <cacheField name="Product_Rating" numFmtId="0">
      <sharedItems containsString="0" containsBlank="1" containsNumber="1" minValue="1" maxValue="5"/>
    </cacheField>
    <cacheField name="Num_Ratings" numFmtId="0">
      <sharedItems containsSemiMixedTypes="0" containsString="0" containsNumber="1" containsInteger="1" minValue="0" maxValue="435089"/>
    </cacheField>
    <cacheField name="Num_Offers" numFmtId="0">
      <sharedItems containsSemiMixedTypes="0" containsString="0" containsNumber="1" containsInteger="1" minValue="1" maxValue="15"/>
    </cacheField>
    <cacheField name="Is_Prime" numFmtId="0">
      <sharedItems/>
    </cacheField>
    <cacheField name="Is_Best_Seller" numFmtId="0">
      <sharedItems/>
    </cacheField>
    <cacheField name="Is_Amazon_Choice" numFmtId="0">
      <sharedItems/>
    </cacheField>
    <cacheField name="Climate_Pledge_Friendly" numFmtId="0">
      <sharedItems/>
    </cacheField>
    <cacheField name="Scraped_At" numFmtId="14">
      <sharedItems containsSemiMixedTypes="0" containsNonDate="0" containsDate="1" containsString="0" minDate="2026-06-05T00:00:00" maxDate="2026-06-06T00:00:00"/>
    </cacheField>
    <cacheField name="Total_Rating_Points" numFmtId="0">
      <sharedItems containsMixedTypes="1" containsNumber="1" minValue="1" maxValue="1783864.9"/>
    </cacheField>
    <cacheField name="Product_Price2" numFmtId="164">
      <sharedItems containsString="0" containsBlank="1" containsNumber="1" minValue="139" maxValue="1117486"/>
    </cacheField>
    <cacheField name="Price Range" numFmtId="0">
      <sharedItems/>
    </cacheField>
    <cacheField name="Rating Range" numFmtId="0">
      <sharedItems/>
    </cacheField>
    <cacheField name="Discount Range" numFmtId="0">
      <sharedItems count="6">
        <s v="0–10%"/>
        <s v="No Discount"/>
        <s v="20–30%"/>
        <s v="Above 50%"/>
        <s v="10–20%"/>
        <s v="30–5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s v="B0FN7QTRPY"/>
    <x v="0"/>
    <x v="0"/>
    <n v="9999"/>
    <n v="10999"/>
    <n v="9.0999999999999998E-2"/>
    <n v="4.2"/>
    <n v="1550"/>
    <n v="1"/>
    <b v="0"/>
    <b v="0"/>
    <b v="0"/>
    <b v="0"/>
    <d v="2026-06-05T00:00:00"/>
    <n v="6510"/>
    <n v="9999"/>
    <s v="₹5,000–₹10,000"/>
    <x v="0"/>
  </r>
  <r>
    <s v="B0GFW1BJ1D"/>
    <x v="1"/>
    <x v="0"/>
    <n v="13999"/>
    <m/>
    <m/>
    <n v="3.8"/>
    <n v="303"/>
    <n v="1"/>
    <b v="0"/>
    <b v="0"/>
    <b v="0"/>
    <b v="0"/>
    <d v="2026-06-05T00:00:00"/>
    <n v="1151.3999999999999"/>
    <n v="13999"/>
    <s v="Above ₹10,000"/>
    <x v="1"/>
  </r>
  <r>
    <s v="B0FT7T3GZF"/>
    <x v="2"/>
    <x v="0"/>
    <n v="10168"/>
    <n v="10999"/>
    <n v="7.5999999999999998E-2"/>
    <n v="3.7"/>
    <n v="137"/>
    <n v="1"/>
    <b v="0"/>
    <b v="0"/>
    <b v="0"/>
    <b v="0"/>
    <d v="2026-06-05T00:00:00"/>
    <n v="506.90000000000003"/>
    <n v="10168"/>
    <s v="Above ₹10,000"/>
    <x v="1"/>
  </r>
  <r>
    <s v="B0H1B6WTN3"/>
    <x v="3"/>
    <x v="0"/>
    <n v="11999"/>
    <n v="16999"/>
    <n v="0.29399999999999998"/>
    <n v="4.2"/>
    <n v="2964"/>
    <n v="1"/>
    <b v="0"/>
    <b v="0"/>
    <b v="0"/>
    <b v="0"/>
    <d v="2026-06-05T00:00:00"/>
    <n v="12448.800000000001"/>
    <n v="11999"/>
    <s v="Above ₹10,000"/>
    <x v="0"/>
  </r>
  <r>
    <s v="B0G49YZTTW"/>
    <x v="4"/>
    <x v="0"/>
    <n v="19999"/>
    <m/>
    <m/>
    <n v="4.0999999999999996"/>
    <n v="978"/>
    <n v="1"/>
    <b v="0"/>
    <b v="0"/>
    <b v="1"/>
    <b v="0"/>
    <d v="2026-06-05T00:00:00"/>
    <n v="4009.7999999999997"/>
    <n v="19999"/>
    <s v="Above ₹10,000"/>
    <x v="0"/>
  </r>
  <r>
    <s v="B0GVYXPZBS"/>
    <x v="5"/>
    <x v="0"/>
    <n v="25998"/>
    <n v="33999"/>
    <n v="0.23499999999999999"/>
    <n v="4.2"/>
    <n v="318"/>
    <n v="1"/>
    <b v="0"/>
    <b v="0"/>
    <b v="0"/>
    <b v="0"/>
    <d v="2026-06-05T00:00:00"/>
    <n v="1335.6000000000001"/>
    <n v="25998"/>
    <s v="Above ₹10,000"/>
    <x v="0"/>
  </r>
  <r>
    <s v="B0DX6P3RX9"/>
    <x v="6"/>
    <x v="0"/>
    <n v="13999"/>
    <m/>
    <m/>
    <n v="4"/>
    <n v="2865"/>
    <n v="1"/>
    <b v="0"/>
    <b v="0"/>
    <b v="0"/>
    <b v="0"/>
    <d v="2026-06-05T00:00:00"/>
    <n v="11460"/>
    <n v="13999"/>
    <s v="Above ₹10,000"/>
    <x v="0"/>
  </r>
  <r>
    <s v="B0GS97F668"/>
    <x v="7"/>
    <x v="0"/>
    <n v="4999"/>
    <n v="10990"/>
    <n v="0.54500000000000004"/>
    <n v="3"/>
    <n v="6"/>
    <n v="1"/>
    <b v="0"/>
    <b v="0"/>
    <b v="0"/>
    <b v="0"/>
    <d v="2026-06-05T00:00:00"/>
    <n v="18"/>
    <n v="4999"/>
    <s v="₹1,000–₹5,000"/>
    <x v="1"/>
  </r>
  <r>
    <s v="B0F8ZVRLZB"/>
    <x v="8"/>
    <x v="0"/>
    <n v="14094"/>
    <n v="15499"/>
    <n v="9.0999999999999998E-2"/>
    <n v="4.2"/>
    <n v="129"/>
    <n v="12"/>
    <b v="0"/>
    <b v="0"/>
    <b v="0"/>
    <b v="0"/>
    <d v="2026-06-05T00:00:00"/>
    <n v="541.80000000000007"/>
    <n v="14094"/>
    <s v="Above ₹10,000"/>
    <x v="0"/>
  </r>
  <r>
    <s v="B0DYP4NYYJ"/>
    <x v="9"/>
    <x v="0"/>
    <n v="12990"/>
    <n v="13999"/>
    <n v="7.1999999999999995E-2"/>
    <n v="4.0999999999999996"/>
    <n v="823"/>
    <n v="13"/>
    <b v="0"/>
    <b v="0"/>
    <b v="0"/>
    <b v="0"/>
    <d v="2026-06-05T00:00:00"/>
    <n v="3374.2999999999997"/>
    <n v="12990"/>
    <s v="Above ₹10,000"/>
    <x v="0"/>
  </r>
  <r>
    <s v="B0GTQ5X45R"/>
    <x v="10"/>
    <x v="0"/>
    <n v="7999"/>
    <n v="18900"/>
    <n v="0.57699999999999996"/>
    <n v="3.4"/>
    <n v="26"/>
    <n v="2"/>
    <b v="0"/>
    <b v="0"/>
    <b v="0"/>
    <b v="0"/>
    <d v="2026-06-05T00:00:00"/>
    <n v="88.399999999999991"/>
    <n v="7999"/>
    <s v="₹5,000–₹10,000"/>
    <x v="1"/>
  </r>
  <r>
    <s v="B0GS5Y7QBF"/>
    <x v="11"/>
    <x v="0"/>
    <n v="12999"/>
    <n v="15999"/>
    <n v="0.188"/>
    <n v="3.6"/>
    <n v="569"/>
    <n v="1"/>
    <b v="0"/>
    <b v="0"/>
    <b v="0"/>
    <b v="0"/>
    <d v="2026-06-05T00:00:00"/>
    <n v="2048.4"/>
    <n v="12999"/>
    <s v="Above ₹10,000"/>
    <x v="1"/>
  </r>
  <r>
    <s v="B0GTRHJYYF"/>
    <x v="12"/>
    <x v="0"/>
    <n v="15998"/>
    <n v="27999"/>
    <n v="0.42899999999999999"/>
    <n v="3.9"/>
    <n v="99"/>
    <n v="1"/>
    <b v="0"/>
    <b v="0"/>
    <b v="0"/>
    <b v="0"/>
    <d v="2026-06-05T00:00:00"/>
    <n v="386.09999999999997"/>
    <n v="15998"/>
    <s v="Above ₹10,000"/>
    <x v="1"/>
  </r>
  <r>
    <s v="B0GN16HF5W"/>
    <x v="13"/>
    <x v="0"/>
    <n v="15999"/>
    <n v="20999"/>
    <n v="0.23799999999999999"/>
    <n v="3.5"/>
    <n v="37"/>
    <n v="1"/>
    <b v="0"/>
    <b v="0"/>
    <b v="0"/>
    <b v="0"/>
    <d v="2026-06-05T00:00:00"/>
    <n v="129.5"/>
    <n v="15999"/>
    <s v="Above ₹10,000"/>
    <x v="1"/>
  </r>
  <r>
    <s v="B0GPDJ1PRN"/>
    <x v="14"/>
    <x v="0"/>
    <n v="17630"/>
    <n v="23999"/>
    <n v="0.26500000000000001"/>
    <n v="3.8"/>
    <n v="34"/>
    <n v="1"/>
    <b v="0"/>
    <b v="0"/>
    <b v="0"/>
    <b v="0"/>
    <d v="2026-06-05T00:00:00"/>
    <n v="129.19999999999999"/>
    <n v="17630"/>
    <s v="Above ₹10,000"/>
    <x v="1"/>
  </r>
  <r>
    <s v="B0GVG27VS7"/>
    <x v="15"/>
    <x v="0"/>
    <n v="12499"/>
    <n v="15999"/>
    <n v="0.219"/>
    <n v="3.5"/>
    <n v="23"/>
    <n v="2"/>
    <b v="0"/>
    <b v="0"/>
    <b v="0"/>
    <b v="0"/>
    <d v="2026-06-05T00:00:00"/>
    <n v="80.5"/>
    <n v="12499"/>
    <s v="Above ₹10,000"/>
    <x v="1"/>
  </r>
  <r>
    <s v="B0GRBHNCTZ"/>
    <x v="16"/>
    <x v="0"/>
    <n v="47998"/>
    <n v="56999"/>
    <n v="0.158"/>
    <n v="4.3"/>
    <n v="1180"/>
    <n v="1"/>
    <b v="0"/>
    <b v="0"/>
    <b v="0"/>
    <b v="0"/>
    <d v="2026-06-05T00:00:00"/>
    <n v="5074"/>
    <n v="47998"/>
    <s v="Above ₹10,000"/>
    <x v="0"/>
  </r>
  <r>
    <s v="B0GP7BD27Q"/>
    <x v="17"/>
    <x v="0"/>
    <n v="22999"/>
    <n v="28999"/>
    <n v="0.20699999999999999"/>
    <n v="4.2"/>
    <n v="827"/>
    <n v="1"/>
    <b v="0"/>
    <b v="0"/>
    <b v="0"/>
    <b v="0"/>
    <d v="2026-06-05T00:00:00"/>
    <n v="3473.4"/>
    <n v="22999"/>
    <s v="Above ₹10,000"/>
    <x v="0"/>
  </r>
  <r>
    <s v="B0F43WXC8K"/>
    <x v="18"/>
    <x v="0"/>
    <n v="23498"/>
    <n v="33999"/>
    <n v="0.309"/>
    <n v="4.3"/>
    <n v="1943"/>
    <n v="1"/>
    <b v="0"/>
    <b v="0"/>
    <b v="0"/>
    <b v="0"/>
    <d v="2026-06-05T00:00:00"/>
    <n v="8354.9"/>
    <n v="23498"/>
    <s v="Above ₹10,000"/>
    <x v="0"/>
  </r>
  <r>
    <s v="B0F1D9LCK3"/>
    <x v="19"/>
    <x v="0"/>
    <n v="23999"/>
    <n v="25999"/>
    <n v="7.6999999999999999E-2"/>
    <n v="4.3"/>
    <n v="2832"/>
    <n v="1"/>
    <b v="0"/>
    <b v="0"/>
    <b v="0"/>
    <b v="0"/>
    <d v="2026-06-05T00:00:00"/>
    <n v="12177.6"/>
    <n v="23999"/>
    <s v="Above ₹10,000"/>
    <x v="0"/>
  </r>
  <r>
    <s v="B0FN7RN9TH"/>
    <x v="20"/>
    <x v="0"/>
    <n v="14999"/>
    <n v="16499"/>
    <n v="9.0999999999999998E-2"/>
    <n v="4"/>
    <n v="2910"/>
    <n v="1"/>
    <b v="0"/>
    <b v="0"/>
    <b v="0"/>
    <b v="0"/>
    <d v="2026-06-05T00:00:00"/>
    <n v="11640"/>
    <n v="14999"/>
    <s v="Above ₹10,000"/>
    <x v="0"/>
  </r>
  <r>
    <s v="B0G29VSZF6"/>
    <x v="21"/>
    <x v="0"/>
    <n v="20999"/>
    <n v="33999"/>
    <n v="0.38200000000000001"/>
    <n v="3.9"/>
    <n v="727"/>
    <n v="1"/>
    <b v="0"/>
    <b v="0"/>
    <b v="0"/>
    <b v="0"/>
    <d v="2026-06-05T00:00:00"/>
    <n v="2835.2999999999997"/>
    <n v="20999"/>
    <s v="Above ₹10,000"/>
    <x v="1"/>
  </r>
  <r>
    <s v="B0GN1P5CSY"/>
    <x v="22"/>
    <x v="0"/>
    <n v="13999"/>
    <n v="16999"/>
    <n v="0.17599999999999999"/>
    <n v="3.9"/>
    <n v="249"/>
    <n v="1"/>
    <b v="0"/>
    <b v="0"/>
    <b v="0"/>
    <b v="0"/>
    <d v="2026-06-05T00:00:00"/>
    <n v="971.1"/>
    <n v="13999"/>
    <s v="Above ₹10,000"/>
    <x v="1"/>
  </r>
  <r>
    <s v="B0GSVFNTBW"/>
    <x v="23"/>
    <x v="0"/>
    <n v="4890"/>
    <n v="10990"/>
    <n v="0.55500000000000005"/>
    <n v="2.6"/>
    <n v="7"/>
    <n v="1"/>
    <b v="0"/>
    <b v="0"/>
    <b v="0"/>
    <b v="0"/>
    <d v="2026-06-05T00:00:00"/>
    <n v="18.2"/>
    <n v="4890"/>
    <s v="₹1,000–₹5,000"/>
    <x v="2"/>
  </r>
  <r>
    <s v="B0GL1WGHJX"/>
    <x v="24"/>
    <x v="0"/>
    <n v="8899"/>
    <n v="10499"/>
    <n v="0.152"/>
    <n v="3.6"/>
    <n v="149"/>
    <n v="1"/>
    <b v="0"/>
    <b v="0"/>
    <b v="0"/>
    <b v="0"/>
    <d v="2026-06-05T00:00:00"/>
    <n v="536.4"/>
    <n v="8899"/>
    <s v="₹5,000–₹10,000"/>
    <x v="1"/>
  </r>
  <r>
    <s v="B0FJFSHJ6Z"/>
    <x v="25"/>
    <x v="0"/>
    <n v="24499"/>
    <n v="36999"/>
    <n v="0.33800000000000002"/>
    <n v="4.0999999999999996"/>
    <n v="2138"/>
    <n v="1"/>
    <b v="0"/>
    <b v="0"/>
    <b v="0"/>
    <b v="0"/>
    <d v="2026-06-05T00:00:00"/>
    <n v="8765.7999999999993"/>
    <n v="24499"/>
    <s v="Above ₹10,000"/>
    <x v="0"/>
  </r>
  <r>
    <s v="B0GP88QJL8"/>
    <x v="26"/>
    <x v="0"/>
    <n v="48250"/>
    <n v="49999"/>
    <n v="3.5000000000000003E-2"/>
    <n v="4.3"/>
    <n v="69"/>
    <n v="1"/>
    <b v="0"/>
    <b v="0"/>
    <b v="0"/>
    <b v="0"/>
    <d v="2026-06-05T00:00:00"/>
    <n v="296.7"/>
    <n v="48250"/>
    <s v="Above ₹10,000"/>
    <x v="0"/>
  </r>
  <r>
    <s v="B0FZSXYV6K"/>
    <x v="27"/>
    <x v="0"/>
    <n v="59999"/>
    <m/>
    <m/>
    <n v="4.5"/>
    <n v="1585"/>
    <n v="1"/>
    <b v="0"/>
    <b v="0"/>
    <b v="0"/>
    <b v="0"/>
    <d v="2026-06-05T00:00:00"/>
    <n v="7132.5"/>
    <n v="59999"/>
    <s v="Above ₹10,000"/>
    <x v="3"/>
  </r>
  <r>
    <s v="B0GS5SM6JR"/>
    <x v="28"/>
    <x v="0"/>
    <n v="12999"/>
    <n v="15999"/>
    <n v="0.188"/>
    <n v="3.6"/>
    <n v="569"/>
    <n v="1"/>
    <b v="0"/>
    <b v="0"/>
    <b v="0"/>
    <b v="0"/>
    <d v="2026-06-05T00:00:00"/>
    <n v="2048.4"/>
    <n v="12999"/>
    <s v="Above ₹10,000"/>
    <x v="1"/>
  </r>
  <r>
    <s v="B0FW3RP8YJ"/>
    <x v="29"/>
    <x v="0"/>
    <n v="20499"/>
    <n v="22999"/>
    <n v="0.109"/>
    <n v="4.0999999999999996"/>
    <n v="151"/>
    <n v="1"/>
    <b v="0"/>
    <b v="0"/>
    <b v="0"/>
    <b v="0"/>
    <d v="2026-06-05T00:00:00"/>
    <n v="619.09999999999991"/>
    <n v="20499"/>
    <s v="Above ₹10,000"/>
    <x v="0"/>
  </r>
  <r>
    <s v="B0GS5V95DB"/>
    <x v="30"/>
    <x v="0"/>
    <n v="13999"/>
    <n v="16999"/>
    <n v="0.17599999999999999"/>
    <n v="3.6"/>
    <n v="569"/>
    <n v="1"/>
    <b v="0"/>
    <b v="0"/>
    <b v="0"/>
    <b v="0"/>
    <d v="2026-06-05T00:00:00"/>
    <n v="2048.4"/>
    <n v="13999"/>
    <s v="Above ₹10,000"/>
    <x v="1"/>
  </r>
  <r>
    <s v="B0DYKC512N"/>
    <x v="31"/>
    <x v="0"/>
    <n v="14147"/>
    <n v="15499"/>
    <n v="8.6999999999999994E-2"/>
    <n v="4"/>
    <n v="213"/>
    <n v="1"/>
    <b v="0"/>
    <b v="0"/>
    <b v="0"/>
    <b v="0"/>
    <d v="2026-06-05T00:00:00"/>
    <n v="852"/>
    <n v="14147"/>
    <s v="Above ₹10,000"/>
    <x v="0"/>
  </r>
  <r>
    <s v="B0G8Y3GWQR"/>
    <x v="32"/>
    <x v="0"/>
    <n v="37999"/>
    <n v="42999"/>
    <n v="0.11600000000000001"/>
    <n v="4"/>
    <n v="106"/>
    <n v="1"/>
    <b v="0"/>
    <b v="0"/>
    <b v="0"/>
    <b v="0"/>
    <d v="2026-06-05T00:00:00"/>
    <n v="424"/>
    <n v="37999"/>
    <s v="Above ₹10,000"/>
    <x v="0"/>
  </r>
  <r>
    <s v="B0GSRJ52CQ"/>
    <x v="33"/>
    <x v="0"/>
    <n v="15909"/>
    <n v="20000"/>
    <n v="0.20499999999999999"/>
    <n v="4.3"/>
    <n v="15"/>
    <n v="4"/>
    <b v="0"/>
    <b v="0"/>
    <b v="0"/>
    <b v="0"/>
    <d v="2026-06-05T00:00:00"/>
    <n v="64.5"/>
    <n v="15909"/>
    <s v="Above ₹10,000"/>
    <x v="0"/>
  </r>
  <r>
    <s v="B07Z6JYPTW"/>
    <x v="34"/>
    <x v="0"/>
    <m/>
    <m/>
    <m/>
    <n v="3.9"/>
    <n v="224"/>
    <n v="1"/>
    <b v="0"/>
    <b v="0"/>
    <b v="0"/>
    <b v="0"/>
    <d v="2026-06-05T00:00:00"/>
    <n v="873.6"/>
    <m/>
    <s v=" "/>
    <x v="1"/>
  </r>
  <r>
    <s v="B0GF2H24ZJ"/>
    <x v="35"/>
    <x v="0"/>
    <n v="44999"/>
    <m/>
    <m/>
    <n v="4.2"/>
    <n v="262"/>
    <n v="1"/>
    <b v="0"/>
    <b v="0"/>
    <b v="0"/>
    <b v="0"/>
    <d v="2026-06-05T00:00:00"/>
    <n v="1100.4000000000001"/>
    <n v="44999"/>
    <s v="Above ₹10,000"/>
    <x v="0"/>
  </r>
  <r>
    <s v="B0GTV6S8Q2"/>
    <x v="36"/>
    <x v="0"/>
    <n v="26909"/>
    <n v="35999"/>
    <n v="0.253"/>
    <n v="4.3"/>
    <n v="73"/>
    <n v="9"/>
    <b v="0"/>
    <b v="0"/>
    <b v="0"/>
    <b v="0"/>
    <d v="2026-06-05T00:00:00"/>
    <n v="313.89999999999998"/>
    <n v="26909"/>
    <s v="Above ₹10,000"/>
    <x v="0"/>
  </r>
  <r>
    <s v="B0DDYBQWLW"/>
    <x v="37"/>
    <x v="0"/>
    <n v="12269"/>
    <m/>
    <m/>
    <n v="4.0999999999999996"/>
    <n v="1853"/>
    <n v="1"/>
    <b v="0"/>
    <b v="0"/>
    <b v="0"/>
    <b v="0"/>
    <d v="2026-06-05T00:00:00"/>
    <n v="7597.2999999999993"/>
    <n v="12269"/>
    <s v="Above ₹10,000"/>
    <x v="0"/>
  </r>
  <r>
    <s v="B0GWDDKGNP"/>
    <x v="38"/>
    <x v="0"/>
    <n v="13499"/>
    <n v="16999"/>
    <n v="0.20599999999999999"/>
    <n v="3.6"/>
    <n v="45"/>
    <n v="1"/>
    <b v="0"/>
    <b v="0"/>
    <b v="0"/>
    <b v="0"/>
    <d v="2026-06-05T00:00:00"/>
    <n v="162"/>
    <n v="13499"/>
    <s v="Above ₹10,000"/>
    <x v="1"/>
  </r>
  <r>
    <s v="B0GP8XTH7K"/>
    <x v="39"/>
    <x v="0"/>
    <n v="26999"/>
    <n v="33999"/>
    <n v="0.20599999999999999"/>
    <n v="4.2"/>
    <n v="827"/>
    <n v="1"/>
    <b v="0"/>
    <b v="0"/>
    <b v="0"/>
    <b v="0"/>
    <d v="2026-06-05T00:00:00"/>
    <n v="3473.4"/>
    <n v="26999"/>
    <s v="Above ₹10,000"/>
    <x v="0"/>
  </r>
  <r>
    <s v="B0FRNNP6F5"/>
    <x v="40"/>
    <x v="0"/>
    <n v="15499"/>
    <n v="16999"/>
    <n v="8.7999999999999995E-2"/>
    <n v="3.7"/>
    <n v="69"/>
    <n v="1"/>
    <b v="0"/>
    <b v="0"/>
    <b v="0"/>
    <b v="0"/>
    <d v="2026-06-05T00:00:00"/>
    <n v="255.3"/>
    <n v="15499"/>
    <s v="Above ₹10,000"/>
    <x v="1"/>
  </r>
  <r>
    <s v="B0G5G7LNCV"/>
    <x v="41"/>
    <x v="0"/>
    <n v="28999"/>
    <m/>
    <m/>
    <n v="4.2"/>
    <n v="831"/>
    <n v="1"/>
    <b v="0"/>
    <b v="0"/>
    <b v="0"/>
    <b v="0"/>
    <d v="2026-06-05T00:00:00"/>
    <n v="3490.2000000000003"/>
    <n v="28999"/>
    <s v="Above ₹10,000"/>
    <x v="0"/>
  </r>
  <r>
    <s v="B0GZWDFQPN"/>
    <x v="42"/>
    <x v="0"/>
    <n v="11179"/>
    <n v="19999"/>
    <n v="0.441"/>
    <m/>
    <n v="0"/>
    <n v="1"/>
    <b v="0"/>
    <b v="0"/>
    <b v="0"/>
    <b v="0"/>
    <d v="2026-06-05T00:00:00"/>
    <s v=""/>
    <n v="11179"/>
    <s v="Above ₹10,000"/>
    <x v="4"/>
  </r>
  <r>
    <s v="B0GL83ZTP8"/>
    <x v="43"/>
    <x v="0"/>
    <n v="46998"/>
    <n v="53990"/>
    <n v="0.13"/>
    <n v="4.4000000000000004"/>
    <n v="954"/>
    <n v="1"/>
    <b v="0"/>
    <b v="0"/>
    <b v="0"/>
    <b v="0"/>
    <d v="2026-06-05T00:00:00"/>
    <n v="4197.6000000000004"/>
    <n v="46998"/>
    <s v="Above ₹10,000"/>
    <x v="0"/>
  </r>
  <r>
    <s v="B0F46SJ5SB"/>
    <x v="44"/>
    <x v="0"/>
    <n v="21040"/>
    <m/>
    <m/>
    <n v="4.3"/>
    <n v="1454"/>
    <n v="1"/>
    <b v="0"/>
    <b v="0"/>
    <b v="0"/>
    <b v="0"/>
    <d v="2026-06-05T00:00:00"/>
    <n v="6252.2"/>
    <n v="21040"/>
    <s v="Above ₹10,000"/>
    <x v="0"/>
  </r>
  <r>
    <s v="B0FDB9H9Z7"/>
    <x v="45"/>
    <x v="0"/>
    <n v="23999"/>
    <n v="26999"/>
    <n v="0.111"/>
    <n v="4"/>
    <n v="513"/>
    <n v="1"/>
    <b v="0"/>
    <b v="0"/>
    <b v="0"/>
    <b v="0"/>
    <d v="2026-06-05T00:00:00"/>
    <n v="2052"/>
    <n v="23999"/>
    <s v="Above ₹10,000"/>
    <x v="0"/>
  </r>
  <r>
    <s v="B0GVFVND7C"/>
    <x v="46"/>
    <x v="0"/>
    <n v="11499"/>
    <n v="14999"/>
    <n v="0.23300000000000001"/>
    <n v="3.2"/>
    <n v="11"/>
    <n v="2"/>
    <b v="0"/>
    <b v="0"/>
    <b v="0"/>
    <b v="0"/>
    <d v="2026-06-05T00:00:00"/>
    <n v="35.200000000000003"/>
    <n v="11499"/>
    <s v="Above ₹10,000"/>
    <x v="1"/>
  </r>
  <r>
    <s v="B0F2HDWBNK"/>
    <x v="47"/>
    <x v="0"/>
    <n v="28999"/>
    <n v="29999"/>
    <n v="3.3000000000000002E-2"/>
    <n v="4.4000000000000004"/>
    <n v="5380"/>
    <n v="1"/>
    <b v="0"/>
    <b v="0"/>
    <b v="0"/>
    <b v="0"/>
    <d v="2026-06-05T00:00:00"/>
    <n v="23672.000000000004"/>
    <n v="28999"/>
    <s v="Above ₹10,000"/>
    <x v="0"/>
  </r>
  <r>
    <s v="B0CL7CMTXS"/>
    <x v="48"/>
    <x v="1"/>
    <n v="42999"/>
    <m/>
    <m/>
    <n v="4"/>
    <n v="349"/>
    <n v="1"/>
    <b v="0"/>
    <b v="0"/>
    <b v="0"/>
    <b v="0"/>
    <d v="2026-06-05T00:00:00"/>
    <n v="1396"/>
    <n v="42999"/>
    <s v="Above ₹10,000"/>
    <x v="0"/>
  </r>
  <r>
    <s v="B0BQJ68HHC"/>
    <x v="49"/>
    <x v="1"/>
    <n v="44990"/>
    <n v="48692"/>
    <n v="7.5999999999999998E-2"/>
    <n v="4.0999999999999996"/>
    <n v="1114"/>
    <n v="1"/>
    <b v="0"/>
    <b v="0"/>
    <b v="0"/>
    <b v="0"/>
    <d v="2026-06-05T00:00:00"/>
    <n v="4567.3999999999996"/>
    <n v="44990"/>
    <s v="Above ₹10,000"/>
    <x v="0"/>
  </r>
  <r>
    <s v="B0F2TMZJ24"/>
    <x v="50"/>
    <x v="1"/>
    <n v="18990"/>
    <n v="36502"/>
    <n v="0.48"/>
    <n v="3.9"/>
    <n v="179"/>
    <n v="1"/>
    <b v="0"/>
    <b v="0"/>
    <b v="0"/>
    <b v="0"/>
    <d v="2026-06-05T00:00:00"/>
    <n v="698.1"/>
    <n v="18990"/>
    <s v="Above ₹10,000"/>
    <x v="1"/>
  </r>
  <r>
    <s v="B0H1JV266J"/>
    <x v="51"/>
    <x v="1"/>
    <n v="35490"/>
    <n v="49999"/>
    <n v="0.28999999999999998"/>
    <n v="5"/>
    <n v="1"/>
    <n v="1"/>
    <b v="0"/>
    <b v="0"/>
    <b v="0"/>
    <b v="0"/>
    <d v="2026-06-05T00:00:00"/>
    <n v="5"/>
    <n v="35490"/>
    <s v="Above ₹10,000"/>
    <x v="3"/>
  </r>
  <r>
    <s v="B0FDWH5WTL"/>
    <x v="52"/>
    <x v="1"/>
    <n v="47490"/>
    <n v="53074"/>
    <n v="0.105"/>
    <n v="3.7"/>
    <n v="46"/>
    <n v="1"/>
    <b v="0"/>
    <b v="0"/>
    <b v="0"/>
    <b v="0"/>
    <d v="2026-06-05T00:00:00"/>
    <n v="170.20000000000002"/>
    <n v="47490"/>
    <s v="Above ₹10,000"/>
    <x v="1"/>
  </r>
  <r>
    <s v="B0D7PTFFZH"/>
    <x v="53"/>
    <x v="1"/>
    <n v="36990"/>
    <n v="39999"/>
    <n v="7.4999999999999997E-2"/>
    <n v="3.6"/>
    <n v="459"/>
    <n v="1"/>
    <b v="0"/>
    <b v="0"/>
    <b v="0"/>
    <b v="0"/>
    <d v="2026-06-05T00:00:00"/>
    <n v="1652.4"/>
    <n v="36990"/>
    <s v="Above ₹10,000"/>
    <x v="1"/>
  </r>
  <r>
    <s v="B0FC2LKFSC"/>
    <x v="54"/>
    <x v="1"/>
    <n v="54990"/>
    <n v="57990"/>
    <n v="5.1999999999999998E-2"/>
    <n v="4"/>
    <n v="180"/>
    <n v="1"/>
    <b v="0"/>
    <b v="0"/>
    <b v="0"/>
    <b v="0"/>
    <d v="2026-06-05T00:00:00"/>
    <n v="720"/>
    <n v="54990"/>
    <s v="Above ₹10,000"/>
    <x v="0"/>
  </r>
  <r>
    <s v="B0FM3C4L2F"/>
    <x v="55"/>
    <x v="1"/>
    <n v="68990"/>
    <n v="83990"/>
    <n v="0.17899999999999999"/>
    <n v="4.2"/>
    <n v="872"/>
    <n v="1"/>
    <b v="0"/>
    <b v="0"/>
    <b v="0"/>
    <b v="0"/>
    <d v="2026-06-05T00:00:00"/>
    <n v="3662.4"/>
    <n v="68990"/>
    <s v="Above ₹10,000"/>
    <x v="0"/>
  </r>
  <r>
    <s v="B0GN2Y3T6M"/>
    <x v="56"/>
    <x v="1"/>
    <n v="30990"/>
    <m/>
    <m/>
    <n v="2.7"/>
    <n v="10"/>
    <n v="1"/>
    <b v="0"/>
    <b v="0"/>
    <b v="0"/>
    <b v="0"/>
    <d v="2026-06-05T00:00:00"/>
    <n v="27"/>
    <n v="30990"/>
    <s v="Above ₹10,000"/>
    <x v="2"/>
  </r>
  <r>
    <s v="B0FMRSJK1L"/>
    <x v="57"/>
    <x v="1"/>
    <n v="54990"/>
    <n v="56990"/>
    <n v="3.5000000000000003E-2"/>
    <n v="4.3"/>
    <n v="213"/>
    <n v="1"/>
    <b v="0"/>
    <b v="0"/>
    <b v="0"/>
    <b v="0"/>
    <d v="2026-06-05T00:00:00"/>
    <n v="915.9"/>
    <n v="54990"/>
    <s v="Above ₹10,000"/>
    <x v="0"/>
  </r>
  <r>
    <s v="B0GR64G4H6"/>
    <x v="58"/>
    <x v="1"/>
    <n v="65000"/>
    <n v="69900"/>
    <n v="7.0000000000000007E-2"/>
    <n v="4.8"/>
    <n v="120"/>
    <n v="1"/>
    <b v="0"/>
    <b v="0"/>
    <b v="0"/>
    <b v="0"/>
    <d v="2026-06-05T00:00:00"/>
    <n v="576"/>
    <n v="65000"/>
    <s v="Above ₹10,000"/>
    <x v="3"/>
  </r>
  <r>
    <s v="B0GSZRGP46"/>
    <x v="59"/>
    <x v="1"/>
    <n v="49300"/>
    <n v="80990"/>
    <n v="0.39100000000000001"/>
    <n v="5"/>
    <n v="1"/>
    <n v="1"/>
    <b v="0"/>
    <b v="0"/>
    <b v="0"/>
    <b v="0"/>
    <d v="2026-06-05T00:00:00"/>
    <n v="5"/>
    <n v="49300"/>
    <s v="Above ₹10,000"/>
    <x v="3"/>
  </r>
  <r>
    <s v="B0H1J4KRR9"/>
    <x v="51"/>
    <x v="1"/>
    <n v="35590"/>
    <n v="54999"/>
    <n v="0.35299999999999998"/>
    <n v="5"/>
    <n v="1"/>
    <n v="1"/>
    <b v="0"/>
    <b v="0"/>
    <b v="0"/>
    <b v="0"/>
    <d v="2026-06-05T00:00:00"/>
    <n v="5"/>
    <n v="35590"/>
    <s v="Above ₹10,000"/>
    <x v="3"/>
  </r>
  <r>
    <s v="B0F4R5W1NC"/>
    <x v="60"/>
    <x v="1"/>
    <n v="50040"/>
    <n v="50903"/>
    <n v="1.7000000000000001E-2"/>
    <n v="4.2"/>
    <n v="2212"/>
    <n v="1"/>
    <b v="0"/>
    <b v="0"/>
    <b v="0"/>
    <b v="0"/>
    <d v="2026-06-05T00:00:00"/>
    <n v="9290.4"/>
    <n v="50040"/>
    <s v="Above ₹10,000"/>
    <x v="0"/>
  </r>
  <r>
    <s v="B0F29HNJL1"/>
    <x v="61"/>
    <x v="1"/>
    <n v="54790"/>
    <n v="99999"/>
    <n v="0.45200000000000001"/>
    <n v="4"/>
    <n v="446"/>
    <n v="1"/>
    <b v="0"/>
    <b v="0"/>
    <b v="0"/>
    <b v="0"/>
    <d v="2026-06-05T00:00:00"/>
    <n v="1784"/>
    <n v="54790"/>
    <s v="Above ₹10,000"/>
    <x v="0"/>
  </r>
  <r>
    <s v="B0D2Y1BLDT"/>
    <x v="62"/>
    <x v="1"/>
    <n v="61990"/>
    <n v="73163"/>
    <n v="0.153"/>
    <n v="3.8"/>
    <n v="547"/>
    <n v="1"/>
    <b v="0"/>
    <b v="0"/>
    <b v="0"/>
    <b v="0"/>
    <d v="2026-06-05T00:00:00"/>
    <n v="2078.6"/>
    <n v="61990"/>
    <s v="Above ₹10,000"/>
    <x v="1"/>
  </r>
  <r>
    <s v="B0F8P4Y7VF"/>
    <x v="63"/>
    <x v="1"/>
    <n v="79990"/>
    <n v="83704"/>
    <n v="4.3999999999999997E-2"/>
    <n v="4.2"/>
    <n v="282"/>
    <n v="1"/>
    <b v="0"/>
    <b v="0"/>
    <b v="0"/>
    <b v="0"/>
    <d v="2026-06-05T00:00:00"/>
    <n v="1184.4000000000001"/>
    <n v="79990"/>
    <s v="Above ₹10,000"/>
    <x v="0"/>
  </r>
  <r>
    <s v="B0GR1RQ144"/>
    <x v="64"/>
    <x v="1"/>
    <n v="110300"/>
    <n v="119900"/>
    <n v="0.08"/>
    <n v="4.9000000000000004"/>
    <n v="25"/>
    <n v="1"/>
    <b v="0"/>
    <b v="0"/>
    <b v="0"/>
    <b v="0"/>
    <d v="2026-06-05T00:00:00"/>
    <n v="122.50000000000001"/>
    <n v="110300"/>
    <s v="Above ₹10,000"/>
    <x v="3"/>
  </r>
  <r>
    <s v="B0GR68779Y"/>
    <x v="65"/>
    <x v="1"/>
    <n v="65000"/>
    <n v="69900"/>
    <n v="7.0000000000000007E-2"/>
    <n v="4.8"/>
    <n v="120"/>
    <n v="1"/>
    <b v="0"/>
    <b v="0"/>
    <b v="0"/>
    <b v="0"/>
    <d v="2026-06-05T00:00:00"/>
    <n v="576"/>
    <n v="65000"/>
    <s v="Above ₹10,000"/>
    <x v="3"/>
  </r>
  <r>
    <s v="B0GR1HPR1W"/>
    <x v="66"/>
    <x v="1"/>
    <n v="110290"/>
    <n v="119900"/>
    <n v="0.08"/>
    <n v="4.5"/>
    <n v="34"/>
    <n v="1"/>
    <b v="0"/>
    <b v="0"/>
    <b v="0"/>
    <b v="0"/>
    <d v="2026-06-05T00:00:00"/>
    <n v="153"/>
    <n v="110290"/>
    <s v="Above ₹10,000"/>
    <x v="3"/>
  </r>
  <r>
    <s v="B0FJYJP1L6"/>
    <x v="67"/>
    <x v="1"/>
    <n v="90990"/>
    <n v="95746"/>
    <n v="0.05"/>
    <n v="4.2"/>
    <n v="90"/>
    <n v="1"/>
    <b v="0"/>
    <b v="0"/>
    <b v="0"/>
    <b v="0"/>
    <d v="2026-06-05T00:00:00"/>
    <n v="378"/>
    <n v="90990"/>
    <s v="Above ₹10,000"/>
    <x v="0"/>
  </r>
  <r>
    <s v="B0F2162VGQ"/>
    <x v="68"/>
    <x v="1"/>
    <n v="79990"/>
    <n v="89390"/>
    <n v="0.105"/>
    <n v="4.0999999999999996"/>
    <n v="436"/>
    <n v="1"/>
    <b v="0"/>
    <b v="0"/>
    <b v="0"/>
    <b v="0"/>
    <d v="2026-06-05T00:00:00"/>
    <n v="1787.6"/>
    <n v="79990"/>
    <s v="Above ₹10,000"/>
    <x v="0"/>
  </r>
  <r>
    <s v="B0GYHPP3Y1"/>
    <x v="69"/>
    <x v="1"/>
    <n v="34990"/>
    <n v="79990"/>
    <n v="0.56299999999999994"/>
    <m/>
    <n v="0"/>
    <n v="1"/>
    <b v="0"/>
    <b v="0"/>
    <b v="0"/>
    <b v="0"/>
    <d v="2026-06-05T00:00:00"/>
    <s v=""/>
    <n v="34990"/>
    <s v="Above ₹10,000"/>
    <x v="4"/>
  </r>
  <r>
    <s v="B09BB766ZL"/>
    <x v="70"/>
    <x v="1"/>
    <n v="124990"/>
    <n v="153990"/>
    <n v="0.188"/>
    <m/>
    <n v="0"/>
    <n v="1"/>
    <b v="0"/>
    <b v="0"/>
    <b v="0"/>
    <b v="0"/>
    <d v="2026-06-05T00:00:00"/>
    <s v=""/>
    <n v="124990"/>
    <s v="Above ₹10,000"/>
    <x v="4"/>
  </r>
  <r>
    <s v="B0GYRJZZ29"/>
    <x v="71"/>
    <x v="1"/>
    <n v="41990"/>
    <n v="74999"/>
    <n v="0.44"/>
    <m/>
    <n v="0"/>
    <n v="1"/>
    <b v="0"/>
    <b v="0"/>
    <b v="0"/>
    <b v="0"/>
    <d v="2026-06-05T00:00:00"/>
    <s v=""/>
    <n v="41990"/>
    <s v="Above ₹10,000"/>
    <x v="4"/>
  </r>
  <r>
    <s v="B0G3B47HZF"/>
    <x v="72"/>
    <x v="1"/>
    <n v="109539"/>
    <n v="131290"/>
    <n v="0.16600000000000001"/>
    <n v="4.7"/>
    <n v="8"/>
    <n v="7"/>
    <b v="0"/>
    <b v="0"/>
    <b v="0"/>
    <b v="0"/>
    <d v="2026-06-05T00:00:00"/>
    <n v="37.6"/>
    <n v="109539"/>
    <s v="Above ₹10,000"/>
    <x v="3"/>
  </r>
  <r>
    <s v="B0GR67GHSV"/>
    <x v="73"/>
    <x v="1"/>
    <n v="77900"/>
    <n v="79900"/>
    <n v="2.5000000000000001E-2"/>
    <n v="4.8"/>
    <n v="120"/>
    <n v="1"/>
    <b v="0"/>
    <b v="0"/>
    <b v="0"/>
    <b v="0"/>
    <d v="2026-06-05T00:00:00"/>
    <n v="576"/>
    <n v="77900"/>
    <s v="Above ₹10,000"/>
    <x v="3"/>
  </r>
  <r>
    <s v="B0F4R3GFMQ"/>
    <x v="74"/>
    <x v="1"/>
    <n v="52690"/>
    <n v="52720.160000000003"/>
    <n v="1E-3"/>
    <n v="4.2"/>
    <n v="551"/>
    <n v="1"/>
    <b v="0"/>
    <b v="0"/>
    <b v="0"/>
    <b v="0"/>
    <d v="2026-06-05T00:00:00"/>
    <n v="2314.2000000000003"/>
    <n v="52690"/>
    <s v="Above ₹10,000"/>
    <x v="0"/>
  </r>
  <r>
    <s v="B0GY7VGHDQ"/>
    <x v="75"/>
    <x v="1"/>
    <n v="48902"/>
    <n v="89990"/>
    <n v="0.45700000000000002"/>
    <m/>
    <n v="0"/>
    <n v="1"/>
    <b v="0"/>
    <b v="0"/>
    <b v="0"/>
    <b v="0"/>
    <d v="2026-06-05T00:00:00"/>
    <s v=""/>
    <n v="48902"/>
    <s v="Above ₹10,000"/>
    <x v="4"/>
  </r>
  <r>
    <s v="B0872G2MPV"/>
    <x v="76"/>
    <x v="1"/>
    <n v="43999"/>
    <n v="99000"/>
    <n v="0.55600000000000005"/>
    <n v="3.9"/>
    <n v="41"/>
    <n v="1"/>
    <b v="0"/>
    <b v="0"/>
    <b v="0"/>
    <b v="0"/>
    <d v="2026-06-05T00:00:00"/>
    <n v="159.9"/>
    <n v="43999"/>
    <s v="Above ₹10,000"/>
    <x v="1"/>
  </r>
  <r>
    <s v="B0GY8KNSFC"/>
    <x v="77"/>
    <x v="1"/>
    <n v="73990"/>
    <n v="108510"/>
    <n v="0.318"/>
    <n v="3"/>
    <n v="2"/>
    <n v="1"/>
    <b v="0"/>
    <b v="0"/>
    <b v="0"/>
    <b v="0"/>
    <d v="2026-06-05T00:00:00"/>
    <n v="6"/>
    <n v="73990"/>
    <s v="Above ₹10,000"/>
    <x v="1"/>
  </r>
  <r>
    <s v="B0CWTYGPH8"/>
    <x v="78"/>
    <x v="1"/>
    <n v="49790"/>
    <n v="49990"/>
    <n v="4.0000000000000001E-3"/>
    <n v="4"/>
    <n v="358"/>
    <n v="1"/>
    <b v="0"/>
    <b v="0"/>
    <b v="0"/>
    <b v="0"/>
    <d v="2026-06-05T00:00:00"/>
    <n v="1432"/>
    <n v="49790"/>
    <s v="Above ₹10,000"/>
    <x v="0"/>
  </r>
  <r>
    <s v="B0GFP4WSMB"/>
    <x v="79"/>
    <x v="1"/>
    <n v="61700"/>
    <n v="85000"/>
    <n v="0.27400000000000002"/>
    <n v="5"/>
    <n v="1"/>
    <n v="1"/>
    <b v="0"/>
    <b v="0"/>
    <b v="0"/>
    <b v="0"/>
    <d v="2026-06-05T00:00:00"/>
    <n v="5"/>
    <n v="61700"/>
    <s v="Above ₹10,000"/>
    <x v="3"/>
  </r>
  <r>
    <s v="B0GVT7T169"/>
    <x v="80"/>
    <x v="1"/>
    <n v="58990"/>
    <n v="73990"/>
    <n v="0.20300000000000001"/>
    <m/>
    <n v="0"/>
    <n v="1"/>
    <b v="0"/>
    <b v="0"/>
    <b v="0"/>
    <b v="0"/>
    <d v="2026-06-05T00:00:00"/>
    <s v=""/>
    <n v="58990"/>
    <s v="Above ₹10,000"/>
    <x v="4"/>
  </r>
  <r>
    <s v="B0FK59XW2C"/>
    <x v="81"/>
    <x v="1"/>
    <n v="129990"/>
    <n v="139990"/>
    <n v="7.0999999999999994E-2"/>
    <n v="4.8"/>
    <n v="10"/>
    <n v="1"/>
    <b v="0"/>
    <b v="0"/>
    <b v="0"/>
    <b v="0"/>
    <d v="2026-06-05T00:00:00"/>
    <n v="48"/>
    <n v="129990"/>
    <s v="Above ₹10,000"/>
    <x v="3"/>
  </r>
  <r>
    <s v="B0F5B1N9SJ"/>
    <x v="82"/>
    <x v="1"/>
    <n v="74990"/>
    <n v="86451"/>
    <n v="0.13300000000000001"/>
    <n v="3.8"/>
    <n v="366"/>
    <n v="1"/>
    <b v="0"/>
    <b v="0"/>
    <b v="0"/>
    <b v="0"/>
    <d v="2026-06-05T00:00:00"/>
    <n v="1390.8"/>
    <n v="74990"/>
    <s v="Above ₹10,000"/>
    <x v="1"/>
  </r>
  <r>
    <s v="B0FVX5P8LB"/>
    <x v="83"/>
    <x v="1"/>
    <n v="65990"/>
    <n v="84990"/>
    <n v="0.224"/>
    <n v="3.7"/>
    <n v="2"/>
    <n v="1"/>
    <b v="0"/>
    <b v="0"/>
    <b v="0"/>
    <b v="0"/>
    <d v="2026-06-05T00:00:00"/>
    <n v="7.4"/>
    <n v="65990"/>
    <s v="Above ₹10,000"/>
    <x v="1"/>
  </r>
  <r>
    <s v="B0GHSN1N24"/>
    <x v="84"/>
    <x v="1"/>
    <n v="52300"/>
    <n v="75000"/>
    <n v="0.30299999999999999"/>
    <m/>
    <n v="0"/>
    <n v="1"/>
    <b v="0"/>
    <b v="0"/>
    <b v="0"/>
    <b v="0"/>
    <d v="2026-06-05T00:00:00"/>
    <s v=""/>
    <n v="52300"/>
    <s v="Above ₹10,000"/>
    <x v="4"/>
  </r>
  <r>
    <s v="B0H1W663BW"/>
    <x v="85"/>
    <x v="1"/>
    <n v="22800"/>
    <n v="44999"/>
    <n v="0.49299999999999999"/>
    <m/>
    <n v="0"/>
    <n v="1"/>
    <b v="0"/>
    <b v="0"/>
    <b v="0"/>
    <b v="0"/>
    <d v="2026-06-05T00:00:00"/>
    <s v=""/>
    <n v="22800"/>
    <s v="Above ₹10,000"/>
    <x v="4"/>
  </r>
  <r>
    <s v="B0F9X5DSBS"/>
    <x v="86"/>
    <x v="1"/>
    <n v="149990"/>
    <n v="173990"/>
    <n v="0.13800000000000001"/>
    <n v="4.4000000000000004"/>
    <n v="96"/>
    <n v="1"/>
    <b v="0"/>
    <b v="0"/>
    <b v="0"/>
    <b v="0"/>
    <d v="2026-06-05T00:00:00"/>
    <n v="422.40000000000003"/>
    <n v="149990"/>
    <s v="Above ₹10,000"/>
    <x v="0"/>
  </r>
  <r>
    <s v="B0F8QB4SBH"/>
    <x v="87"/>
    <x v="1"/>
    <n v="49650"/>
    <n v="85000"/>
    <n v="0.41599999999999998"/>
    <n v="3.1"/>
    <n v="2"/>
    <n v="1"/>
    <b v="0"/>
    <b v="0"/>
    <b v="0"/>
    <b v="0"/>
    <d v="2026-06-05T00:00:00"/>
    <n v="6.2"/>
    <n v="49650"/>
    <s v="Above ₹10,000"/>
    <x v="1"/>
  </r>
  <r>
    <s v="B0GNK6BHB2"/>
    <x v="88"/>
    <x v="1"/>
    <n v="43660"/>
    <n v="55000"/>
    <n v="0.20599999999999999"/>
    <n v="4.3"/>
    <n v="4"/>
    <n v="1"/>
    <b v="0"/>
    <b v="0"/>
    <b v="0"/>
    <b v="0"/>
    <d v="2026-06-05T00:00:00"/>
    <n v="17.2"/>
    <n v="43660"/>
    <s v="Above ₹10,000"/>
    <x v="0"/>
  </r>
  <r>
    <s v="B0CRKX3JRT"/>
    <x v="89"/>
    <x v="1"/>
    <n v="76990"/>
    <n v="103436"/>
    <n v="0.25600000000000001"/>
    <n v="4"/>
    <n v="1506"/>
    <n v="1"/>
    <b v="0"/>
    <b v="0"/>
    <b v="0"/>
    <b v="0"/>
    <d v="2026-06-05T00:00:00"/>
    <n v="6024"/>
    <n v="76990"/>
    <s v="Above ₹10,000"/>
    <x v="0"/>
  </r>
  <r>
    <s v="B0GLXWY8ZX"/>
    <x v="90"/>
    <x v="1"/>
    <n v="39990"/>
    <n v="49990"/>
    <n v="0.2"/>
    <n v="2.7"/>
    <n v="11"/>
    <n v="1"/>
    <b v="0"/>
    <b v="0"/>
    <b v="0"/>
    <b v="0"/>
    <d v="2026-06-05T00:00:00"/>
    <n v="29.700000000000003"/>
    <n v="39990"/>
    <s v="Above ₹10,000"/>
    <x v="2"/>
  </r>
  <r>
    <s v="B0C3D8BZVQ"/>
    <x v="91"/>
    <x v="1"/>
    <n v="55490"/>
    <n v="55691"/>
    <n v="4.0000000000000001E-3"/>
    <n v="4.2"/>
    <n v="71"/>
    <n v="1"/>
    <b v="0"/>
    <b v="0"/>
    <b v="0"/>
    <b v="0"/>
    <d v="2026-06-05T00:00:00"/>
    <n v="298.2"/>
    <n v="55490"/>
    <s v="Above ₹10,000"/>
    <x v="0"/>
  </r>
  <r>
    <s v="B0G3PMNXLJ"/>
    <x v="92"/>
    <x v="1"/>
    <n v="48990"/>
    <n v="49631"/>
    <n v="1.2999999999999999E-2"/>
    <m/>
    <n v="0"/>
    <n v="1"/>
    <b v="0"/>
    <b v="0"/>
    <b v="0"/>
    <b v="0"/>
    <d v="2026-06-05T00:00:00"/>
    <s v=""/>
    <n v="48990"/>
    <s v="Above ₹10,000"/>
    <x v="4"/>
  </r>
  <r>
    <s v="B0FHY9XRGT"/>
    <x v="93"/>
    <x v="1"/>
    <n v="343990"/>
    <n v="407392"/>
    <n v="0.156"/>
    <m/>
    <n v="0"/>
    <n v="1"/>
    <b v="0"/>
    <b v="0"/>
    <b v="0"/>
    <b v="0"/>
    <d v="2026-06-05T00:00:00"/>
    <s v=""/>
    <n v="343990"/>
    <s v="Above ₹10,000"/>
    <x v="4"/>
  </r>
  <r>
    <s v="B0FFTLRYRV"/>
    <x v="94"/>
    <x v="1"/>
    <n v="67990"/>
    <n v="69629"/>
    <n v="2.4E-2"/>
    <n v="3.9"/>
    <n v="9"/>
    <n v="1"/>
    <b v="0"/>
    <b v="0"/>
    <b v="0"/>
    <b v="0"/>
    <d v="2026-06-05T00:00:00"/>
    <n v="35.1"/>
    <n v="67990"/>
    <s v="Above ₹10,000"/>
    <x v="1"/>
  </r>
  <r>
    <s v="B0GXDP9V8C"/>
    <x v="95"/>
    <x v="2"/>
    <n v="299"/>
    <n v="999"/>
    <n v="0.70099999999999996"/>
    <n v="2.7"/>
    <n v="9"/>
    <n v="1"/>
    <b v="0"/>
    <b v="0"/>
    <b v="0"/>
    <b v="0"/>
    <d v="2026-06-05T00:00:00"/>
    <n v="24.3"/>
    <n v="299"/>
    <s v="Under ₹500"/>
    <x v="2"/>
  </r>
  <r>
    <s v="B0F5PX1JVY"/>
    <x v="96"/>
    <x v="2"/>
    <n v="4490"/>
    <n v="5990"/>
    <n v="0.25"/>
    <n v="4.2"/>
    <n v="29505"/>
    <n v="1"/>
    <b v="0"/>
    <b v="0"/>
    <b v="0"/>
    <b v="0"/>
    <d v="2026-06-05T00:00:00"/>
    <n v="123921"/>
    <n v="4490"/>
    <s v="₹1,000–₹5,000"/>
    <x v="0"/>
  </r>
  <r>
    <s v="B0FQJQDPF7"/>
    <x v="97"/>
    <x v="2"/>
    <n v="649"/>
    <n v="2599"/>
    <n v="0.75"/>
    <n v="3.8"/>
    <n v="459"/>
    <n v="1"/>
    <b v="0"/>
    <b v="0"/>
    <b v="0"/>
    <b v="0"/>
    <d v="2026-06-05T00:00:00"/>
    <n v="1744.1999999999998"/>
    <n v="649"/>
    <s v="₹500–₹1,000"/>
    <x v="1"/>
  </r>
  <r>
    <s v="B00KGZZ824"/>
    <x v="98"/>
    <x v="2"/>
    <n v="559"/>
    <n v="1390"/>
    <n v="0.59799999999999998"/>
    <n v="4"/>
    <n v="67452"/>
    <n v="1"/>
    <b v="0"/>
    <b v="0"/>
    <b v="1"/>
    <b v="0"/>
    <d v="2026-06-05T00:00:00"/>
    <n v="269808"/>
    <n v="559"/>
    <s v="₹500–₹1,000"/>
    <x v="0"/>
  </r>
  <r>
    <s v="B09B5BS6G4"/>
    <x v="99"/>
    <x v="2"/>
    <n v="749"/>
    <n v="1699"/>
    <n v="0.55900000000000005"/>
    <n v="3.8"/>
    <n v="81867"/>
    <n v="1"/>
    <b v="0"/>
    <b v="0"/>
    <b v="0"/>
    <b v="0"/>
    <d v="2026-06-05T00:00:00"/>
    <n v="311094.59999999998"/>
    <n v="749"/>
    <s v="₹500–₹1,000"/>
    <x v="1"/>
  </r>
  <r>
    <s v="B0DGTTKCJX"/>
    <x v="100"/>
    <x v="2"/>
    <n v="1599"/>
    <n v="3790"/>
    <n v="0.57799999999999996"/>
    <n v="4.0999999999999996"/>
    <n v="3939"/>
    <n v="1"/>
    <b v="0"/>
    <b v="0"/>
    <b v="0"/>
    <b v="0"/>
    <d v="2026-06-05T00:00:00"/>
    <n v="16149.899999999998"/>
    <n v="1599"/>
    <s v="₹1,000–₹5,000"/>
    <x v="0"/>
  </r>
  <r>
    <s v="B0CWVX1GNX"/>
    <x v="101"/>
    <x v="2"/>
    <n v="16990"/>
    <n v="24990"/>
    <n v="0.32"/>
    <n v="4.3"/>
    <n v="3467"/>
    <n v="1"/>
    <b v="0"/>
    <b v="0"/>
    <b v="0"/>
    <b v="0"/>
    <d v="2026-06-05T00:00:00"/>
    <n v="14908.099999999999"/>
    <n v="16990"/>
    <s v="Above ₹10,000"/>
    <x v="0"/>
  </r>
  <r>
    <s v="B0F7LY85KB"/>
    <x v="102"/>
    <x v="2"/>
    <n v="1099"/>
    <n v="2490"/>
    <n v="0.55900000000000005"/>
    <n v="3.9"/>
    <n v="2079"/>
    <n v="1"/>
    <b v="0"/>
    <b v="0"/>
    <b v="0"/>
    <b v="0"/>
    <d v="2026-06-05T00:00:00"/>
    <n v="8108.0999999999995"/>
    <n v="1099"/>
    <s v="₹1,000–₹5,000"/>
    <x v="1"/>
  </r>
  <r>
    <s v="B09R24HMNW"/>
    <x v="103"/>
    <x v="2"/>
    <n v="139"/>
    <n v="399"/>
    <n v="0.65200000000000002"/>
    <n v="3.5"/>
    <n v="69921"/>
    <n v="1"/>
    <b v="0"/>
    <b v="0"/>
    <b v="0"/>
    <b v="0"/>
    <d v="2026-06-05T00:00:00"/>
    <n v="244723.5"/>
    <n v="139"/>
    <s v="Under ₹500"/>
    <x v="1"/>
  </r>
  <r>
    <s v="B0BXXPG6FP"/>
    <x v="104"/>
    <x v="2"/>
    <n v="9431"/>
    <n v="14990"/>
    <n v="0.371"/>
    <n v="4.3"/>
    <n v="15735"/>
    <n v="1"/>
    <b v="0"/>
    <b v="0"/>
    <b v="0"/>
    <b v="0"/>
    <d v="2026-06-05T00:00:00"/>
    <n v="67660.5"/>
    <n v="9431"/>
    <s v="₹5,000–₹10,000"/>
    <x v="0"/>
  </r>
  <r>
    <s v="B0GXDPKM5J"/>
    <x v="95"/>
    <x v="2"/>
    <n v="299"/>
    <n v="999"/>
    <n v="0.70099999999999996"/>
    <n v="2.7"/>
    <n v="9"/>
    <n v="1"/>
    <b v="0"/>
    <b v="0"/>
    <b v="0"/>
    <b v="0"/>
    <d v="2026-06-05T00:00:00"/>
    <n v="24.3"/>
    <n v="299"/>
    <s v="Under ₹500"/>
    <x v="2"/>
  </r>
  <r>
    <s v="B0FC2Y8XYF"/>
    <x v="105"/>
    <x v="2"/>
    <n v="1199"/>
    <n v="2999"/>
    <n v="0.6"/>
    <n v="4.2"/>
    <n v="28473"/>
    <n v="1"/>
    <b v="0"/>
    <b v="0"/>
    <b v="0"/>
    <b v="0"/>
    <d v="2026-06-05T00:00:00"/>
    <n v="119586.6"/>
    <n v="1199"/>
    <s v="₹1,000–₹5,000"/>
    <x v="0"/>
  </r>
  <r>
    <s v="B0FGTZ19JS"/>
    <x v="106"/>
    <x v="2"/>
    <n v="797"/>
    <n v="3199"/>
    <n v="0.751"/>
    <n v="4.0999999999999996"/>
    <n v="1916"/>
    <n v="1"/>
    <b v="0"/>
    <b v="0"/>
    <b v="0"/>
    <b v="0"/>
    <d v="2026-06-05T00:00:00"/>
    <n v="7855.5999999999995"/>
    <n v="797"/>
    <s v="₹500–₹1,000"/>
    <x v="0"/>
  </r>
  <r>
    <s v="B09CYX92NB"/>
    <x v="107"/>
    <x v="2"/>
    <n v="4999"/>
    <n v="9999"/>
    <n v="0.5"/>
    <n v="4.0999999999999996"/>
    <n v="11390"/>
    <n v="1"/>
    <b v="0"/>
    <b v="0"/>
    <b v="0"/>
    <b v="0"/>
    <d v="2026-06-05T00:00:00"/>
    <n v="46698.999999999993"/>
    <n v="4999"/>
    <s v="₹1,000–₹5,000"/>
    <x v="0"/>
  </r>
  <r>
    <s v="B0FG2QT7H2"/>
    <x v="108"/>
    <x v="2"/>
    <n v="2699"/>
    <n v="7990"/>
    <n v="0.66200000000000003"/>
    <n v="4.2"/>
    <n v="31059"/>
    <n v="1"/>
    <b v="0"/>
    <b v="0"/>
    <b v="0"/>
    <b v="0"/>
    <d v="2026-06-05T00:00:00"/>
    <n v="130447.8"/>
    <n v="2699"/>
    <s v="₹1,000–₹5,000"/>
    <x v="0"/>
  </r>
  <r>
    <s v="B0B4G44RFS"/>
    <x v="109"/>
    <x v="2"/>
    <n v="449"/>
    <n v="799"/>
    <n v="0.438"/>
    <n v="3.7"/>
    <n v="4662"/>
    <n v="1"/>
    <b v="0"/>
    <b v="0"/>
    <b v="0"/>
    <b v="0"/>
    <d v="2026-06-05T00:00:00"/>
    <n v="17249.400000000001"/>
    <n v="449"/>
    <s v="Under ₹500"/>
    <x v="1"/>
  </r>
  <r>
    <s v="B0CY1PL36Q"/>
    <x v="110"/>
    <x v="2"/>
    <n v="2499"/>
    <n v="5999"/>
    <n v="0.58299999999999996"/>
    <n v="3.8"/>
    <n v="4353"/>
    <n v="1"/>
    <b v="0"/>
    <b v="0"/>
    <b v="0"/>
    <b v="0"/>
    <d v="2026-06-05T00:00:00"/>
    <n v="16541.399999999998"/>
    <n v="2499"/>
    <s v="₹1,000–₹5,000"/>
    <x v="1"/>
  </r>
  <r>
    <s v="B0B1PX62WJ"/>
    <x v="111"/>
    <x v="2"/>
    <n v="1499"/>
    <n v="4999"/>
    <n v="0.7"/>
    <n v="3.7"/>
    <n v="4693"/>
    <n v="1"/>
    <b v="0"/>
    <b v="0"/>
    <b v="0"/>
    <b v="0"/>
    <d v="2026-06-05T00:00:00"/>
    <n v="17364.100000000002"/>
    <n v="1499"/>
    <s v="₹1,000–₹5,000"/>
    <x v="1"/>
  </r>
  <r>
    <s v="B0DV5GLTLZ"/>
    <x v="112"/>
    <x v="2"/>
    <n v="2699"/>
    <n v="8990"/>
    <n v="0.7"/>
    <n v="4.2"/>
    <n v="3871"/>
    <n v="1"/>
    <b v="0"/>
    <b v="0"/>
    <b v="0"/>
    <b v="0"/>
    <d v="2026-06-05T00:00:00"/>
    <n v="16258.2"/>
    <n v="2699"/>
    <s v="₹1,000–₹5,000"/>
    <x v="0"/>
  </r>
  <r>
    <s v="B00Y4ORQ46"/>
    <x v="113"/>
    <x v="2"/>
    <n v="745"/>
    <n v="955"/>
    <n v="0.22"/>
    <n v="3.9"/>
    <n v="20495"/>
    <n v="1"/>
    <b v="0"/>
    <b v="0"/>
    <b v="0"/>
    <b v="0"/>
    <d v="2026-06-05T00:00:00"/>
    <n v="79930.5"/>
    <n v="745"/>
    <s v="₹500–₹1,000"/>
    <x v="1"/>
  </r>
  <r>
    <s v="B071Z8M4KX"/>
    <x v="114"/>
    <x v="2"/>
    <n v="349"/>
    <n v="999"/>
    <n v="0.65100000000000002"/>
    <n v="4.0999999999999996"/>
    <n v="435089"/>
    <n v="1"/>
    <b v="0"/>
    <b v="0"/>
    <b v="0"/>
    <b v="0"/>
    <d v="2026-06-05T00:00:00"/>
    <n v="1783864.9"/>
    <n v="349"/>
    <s v="Under ₹500"/>
    <x v="0"/>
  </r>
  <r>
    <s v="B0FHHKP966"/>
    <x v="115"/>
    <x v="2"/>
    <n v="299"/>
    <n v="599"/>
    <n v="0.501"/>
    <n v="4"/>
    <n v="118740"/>
    <n v="1"/>
    <b v="0"/>
    <b v="0"/>
    <b v="0"/>
    <b v="0"/>
    <d v="2026-06-05T00:00:00"/>
    <n v="474960"/>
    <n v="299"/>
    <s v="Under ₹500"/>
    <x v="0"/>
  </r>
  <r>
    <s v="B0FHHM74H8"/>
    <x v="116"/>
    <x v="2"/>
    <n v="1899"/>
    <n v="4990"/>
    <n v="0.61899999999999999"/>
    <n v="4.0999999999999996"/>
    <n v="66390"/>
    <n v="1"/>
    <b v="0"/>
    <b v="0"/>
    <b v="0"/>
    <b v="0"/>
    <d v="2026-06-05T00:00:00"/>
    <n v="272199"/>
    <n v="1899"/>
    <s v="₹1,000–₹5,000"/>
    <x v="0"/>
  </r>
  <r>
    <s v="B08KHT2HDT"/>
    <x v="117"/>
    <x v="2"/>
    <n v="9999"/>
    <n v="14999"/>
    <n v="0.33300000000000002"/>
    <n v="4.3"/>
    <n v="16791"/>
    <n v="1"/>
    <b v="0"/>
    <b v="0"/>
    <b v="0"/>
    <b v="0"/>
    <d v="2026-06-05T00:00:00"/>
    <n v="72201.3"/>
    <n v="9999"/>
    <s v="₹5,000–₹10,000"/>
    <x v="0"/>
  </r>
  <r>
    <s v="B074ZF7PVZ"/>
    <x v="118"/>
    <x v="2"/>
    <n v="899"/>
    <n v="2490"/>
    <n v="0.63900000000000001"/>
    <n v="4.2"/>
    <n v="78437"/>
    <n v="1"/>
    <b v="0"/>
    <b v="0"/>
    <b v="0"/>
    <b v="0"/>
    <d v="2026-06-05T00:00:00"/>
    <n v="329435.40000000002"/>
    <n v="899"/>
    <s v="₹500–₹1,000"/>
    <x v="0"/>
  </r>
  <r>
    <s v="B0DT9T945X"/>
    <x v="119"/>
    <x v="2"/>
    <n v="2499"/>
    <n v="6999"/>
    <n v="0.64300000000000002"/>
    <n v="4"/>
    <n v="1215"/>
    <n v="1"/>
    <b v="0"/>
    <b v="0"/>
    <b v="0"/>
    <b v="0"/>
    <d v="2026-06-05T00:00:00"/>
    <n v="4860"/>
    <n v="2499"/>
    <s v="₹1,000–₹5,000"/>
    <x v="0"/>
  </r>
  <r>
    <s v="B0GXL3373V"/>
    <x v="120"/>
    <x v="2"/>
    <n v="1999"/>
    <n v="5999"/>
    <n v="0.66700000000000004"/>
    <n v="4.0999999999999996"/>
    <n v="101"/>
    <n v="1"/>
    <b v="0"/>
    <b v="0"/>
    <b v="0"/>
    <b v="0"/>
    <d v="2026-06-05T00:00:00"/>
    <n v="414.09999999999997"/>
    <n v="1999"/>
    <s v="₹1,000–₹5,000"/>
    <x v="0"/>
  </r>
  <r>
    <s v="B01DF26V7A"/>
    <x v="121"/>
    <x v="2"/>
    <n v="649"/>
    <n v="1299"/>
    <n v="0.5"/>
    <n v="4.0999999999999996"/>
    <n v="205880"/>
    <n v="1"/>
    <b v="0"/>
    <b v="0"/>
    <b v="0"/>
    <b v="0"/>
    <d v="2026-06-05T00:00:00"/>
    <n v="844107.99999999988"/>
    <n v="649"/>
    <s v="₹500–₹1,000"/>
    <x v="0"/>
  </r>
  <r>
    <s v="B08WBJHVYV"/>
    <x v="122"/>
    <x v="2"/>
    <n v="3999"/>
    <n v="7999"/>
    <n v="0.5"/>
    <n v="4.4000000000000004"/>
    <n v="4443"/>
    <n v="1"/>
    <b v="0"/>
    <b v="0"/>
    <b v="0"/>
    <b v="0"/>
    <d v="2026-06-05T00:00:00"/>
    <n v="19549.2"/>
    <n v="3999"/>
    <s v="₹1,000–₹5,000"/>
    <x v="0"/>
  </r>
  <r>
    <s v="B00SAYCXWG"/>
    <x v="123"/>
    <x v="2"/>
    <n v="5499"/>
    <n v="12987"/>
    <n v="0.57699999999999996"/>
    <n v="4.3"/>
    <n v="97953"/>
    <n v="1"/>
    <b v="0"/>
    <b v="0"/>
    <b v="0"/>
    <b v="0"/>
    <d v="2026-06-05T00:00:00"/>
    <n v="421197.89999999997"/>
    <n v="5499"/>
    <s v="₹5,000–₹10,000"/>
    <x v="0"/>
  </r>
  <r>
    <s v="B0GXDT4CHF"/>
    <x v="95"/>
    <x v="2"/>
    <n v="299"/>
    <n v="999"/>
    <n v="0.70099999999999996"/>
    <n v="2.7"/>
    <n v="9"/>
    <n v="1"/>
    <b v="0"/>
    <b v="0"/>
    <b v="0"/>
    <b v="0"/>
    <d v="2026-06-05T00:00:00"/>
    <n v="24.3"/>
    <n v="299"/>
    <s v="Under ₹500"/>
    <x v="2"/>
  </r>
  <r>
    <s v="B0DGX1VCWX"/>
    <x v="124"/>
    <x v="2"/>
    <n v="2499"/>
    <n v="5899"/>
    <n v="0.57599999999999996"/>
    <n v="4.3"/>
    <n v="124"/>
    <n v="1"/>
    <b v="0"/>
    <b v="0"/>
    <b v="0"/>
    <b v="0"/>
    <d v="2026-06-05T00:00:00"/>
    <n v="533.19999999999993"/>
    <n v="2499"/>
    <s v="₹1,000–₹5,000"/>
    <x v="0"/>
  </r>
  <r>
    <s v="B0FRSD3CF5"/>
    <x v="125"/>
    <x v="2"/>
    <n v="998"/>
    <n v="2999"/>
    <n v="0.66700000000000004"/>
    <n v="4"/>
    <n v="116"/>
    <n v="2"/>
    <b v="0"/>
    <b v="0"/>
    <b v="0"/>
    <b v="0"/>
    <d v="2026-06-05T00:00:00"/>
    <n v="464"/>
    <n v="998"/>
    <s v="₹500–₹1,000"/>
    <x v="0"/>
  </r>
  <r>
    <s v="B0D7QKT1N2"/>
    <x v="126"/>
    <x v="2"/>
    <n v="299"/>
    <n v="999"/>
    <n v="0.70099999999999996"/>
    <n v="4.2"/>
    <n v="564"/>
    <n v="1"/>
    <b v="0"/>
    <b v="0"/>
    <b v="0"/>
    <b v="0"/>
    <d v="2026-06-05T00:00:00"/>
    <n v="2368.8000000000002"/>
    <n v="299"/>
    <s v="Under ₹500"/>
    <x v="0"/>
  </r>
  <r>
    <s v="B0G59967NX"/>
    <x v="127"/>
    <x v="2"/>
    <n v="1149"/>
    <n v="2499"/>
    <n v="0.54"/>
    <n v="4.3"/>
    <n v="389"/>
    <n v="1"/>
    <b v="0"/>
    <b v="0"/>
    <b v="0"/>
    <b v="0"/>
    <d v="2026-06-05T00:00:00"/>
    <n v="1672.6999999999998"/>
    <n v="1149"/>
    <s v="₹1,000–₹5,000"/>
    <x v="0"/>
  </r>
  <r>
    <s v="B000AJIF4E"/>
    <x v="128"/>
    <x v="2"/>
    <n v="7846"/>
    <n v="9990"/>
    <n v="0.215"/>
    <n v="4.5999999999999996"/>
    <n v="27075"/>
    <n v="1"/>
    <b v="0"/>
    <b v="0"/>
    <b v="0"/>
    <b v="0"/>
    <d v="2026-06-05T00:00:00"/>
    <n v="124544.99999999999"/>
    <n v="7846"/>
    <s v="₹5,000–₹10,000"/>
    <x v="3"/>
  </r>
  <r>
    <s v="B0FS1Z5X5Z"/>
    <x v="129"/>
    <x v="2"/>
    <n v="6499"/>
    <n v="6999"/>
    <n v="7.0999999999999994E-2"/>
    <m/>
    <n v="0"/>
    <n v="1"/>
    <b v="0"/>
    <b v="0"/>
    <b v="0"/>
    <b v="0"/>
    <d v="2026-06-05T00:00:00"/>
    <s v=""/>
    <n v="6499"/>
    <s v="₹5,000–₹10,000"/>
    <x v="4"/>
  </r>
  <r>
    <s v="B009LJ2BXA"/>
    <x v="130"/>
    <x v="2"/>
    <n v="665"/>
    <n v="889"/>
    <n v="0.252"/>
    <n v="3.5"/>
    <n v="10539"/>
    <n v="1"/>
    <b v="0"/>
    <b v="0"/>
    <b v="0"/>
    <b v="0"/>
    <d v="2026-06-05T00:00:00"/>
    <n v="36886.5"/>
    <n v="665"/>
    <s v="₹500–₹1,000"/>
    <x v="1"/>
  </r>
  <r>
    <s v="B00K0AMYFO"/>
    <x v="131"/>
    <x v="2"/>
    <n v="1099"/>
    <n v="2190"/>
    <n v="0.498"/>
    <n v="4.0999999999999996"/>
    <n v="1801"/>
    <n v="1"/>
    <b v="0"/>
    <b v="0"/>
    <b v="0"/>
    <b v="0"/>
    <d v="2026-06-05T00:00:00"/>
    <n v="7384.0999999999995"/>
    <n v="1099"/>
    <s v="₹1,000–₹5,000"/>
    <x v="0"/>
  </r>
  <r>
    <s v="B0GS8X6VX6"/>
    <x v="132"/>
    <x v="2"/>
    <n v="2999"/>
    <n v="9999"/>
    <n v="0.7"/>
    <n v="4.0999999999999996"/>
    <n v="41"/>
    <n v="1"/>
    <b v="0"/>
    <b v="0"/>
    <b v="0"/>
    <b v="0"/>
    <d v="2026-06-05T00:00:00"/>
    <n v="168.1"/>
    <n v="2999"/>
    <s v="₹1,000–₹5,000"/>
    <x v="0"/>
  </r>
  <r>
    <s v="B0DGJLL7V1"/>
    <x v="133"/>
    <x v="2"/>
    <n v="11700"/>
    <n v="12900"/>
    <n v="9.2999999999999999E-2"/>
    <n v="4.2"/>
    <n v="1135"/>
    <n v="1"/>
    <b v="0"/>
    <b v="0"/>
    <b v="0"/>
    <b v="0"/>
    <d v="2026-06-05T00:00:00"/>
    <n v="4767"/>
    <n v="11700"/>
    <s v="Above ₹10,000"/>
    <x v="0"/>
  </r>
  <r>
    <s v="B0CHMMVHQL"/>
    <x v="134"/>
    <x v="2"/>
    <n v="8999"/>
    <n v="14999"/>
    <n v="0.4"/>
    <n v="4.0999999999999996"/>
    <n v="693"/>
    <n v="1"/>
    <b v="0"/>
    <b v="0"/>
    <b v="0"/>
    <b v="0"/>
    <d v="2026-06-05T00:00:00"/>
    <n v="2841.2999999999997"/>
    <n v="8999"/>
    <s v="₹5,000–₹10,000"/>
    <x v="0"/>
  </r>
  <r>
    <s v="B0D573NP19"/>
    <x v="135"/>
    <x v="2"/>
    <n v="1399"/>
    <n v="7999"/>
    <n v="0.82499999999999996"/>
    <n v="3.8"/>
    <n v="16702"/>
    <n v="1"/>
    <b v="0"/>
    <b v="0"/>
    <b v="0"/>
    <b v="0"/>
    <d v="2026-06-05T00:00:00"/>
    <n v="63467.6"/>
    <n v="1399"/>
    <s v="₹1,000–₹5,000"/>
    <x v="1"/>
  </r>
  <r>
    <s v="B0F29P775Z"/>
    <x v="136"/>
    <x v="2"/>
    <n v="249"/>
    <n v="499"/>
    <n v="0.501"/>
    <n v="4.2"/>
    <n v="1297"/>
    <n v="1"/>
    <b v="0"/>
    <b v="0"/>
    <b v="0"/>
    <b v="0"/>
    <d v="2026-06-05T00:00:00"/>
    <n v="5447.4000000000005"/>
    <n v="249"/>
    <s v="Under ₹500"/>
    <x v="0"/>
  </r>
  <r>
    <s v="B0FBRGKXHG"/>
    <x v="137"/>
    <x v="2"/>
    <n v="1699"/>
    <n v="1999"/>
    <n v="0.15"/>
    <n v="4.2"/>
    <n v="231223"/>
    <n v="1"/>
    <b v="0"/>
    <b v="0"/>
    <b v="0"/>
    <b v="0"/>
    <d v="2026-06-05T00:00:00"/>
    <n v="971136.60000000009"/>
    <n v="1699"/>
    <s v="₹1,000–₹5,000"/>
    <x v="0"/>
  </r>
  <r>
    <s v="B0FZC523RD"/>
    <x v="138"/>
    <x v="2"/>
    <n v="497"/>
    <n v="1799"/>
    <n v="0.72399999999999998"/>
    <n v="3.6"/>
    <n v="1196"/>
    <n v="1"/>
    <b v="0"/>
    <b v="0"/>
    <b v="0"/>
    <b v="0"/>
    <d v="2026-06-05T00:00:00"/>
    <n v="4305.6000000000004"/>
    <n v="497"/>
    <s v="Under ₹500"/>
    <x v="1"/>
  </r>
  <r>
    <s v="B0BZHT8T7T"/>
    <x v="139"/>
    <x v="2"/>
    <n v="2799"/>
    <n v="7990"/>
    <n v="0.65"/>
    <n v="3.5"/>
    <n v="2518"/>
    <n v="1"/>
    <b v="0"/>
    <b v="0"/>
    <b v="0"/>
    <b v="0"/>
    <d v="2026-06-05T00:00:00"/>
    <n v="8813"/>
    <n v="2799"/>
    <s v="₹1,000–₹5,000"/>
    <x v="1"/>
  </r>
  <r>
    <s v="B0F9PJJLCT"/>
    <x v="140"/>
    <x v="2"/>
    <n v="2999"/>
    <n v="4999"/>
    <n v="0.4"/>
    <m/>
    <n v="0"/>
    <n v="1"/>
    <b v="0"/>
    <b v="0"/>
    <b v="0"/>
    <b v="0"/>
    <d v="2026-06-05T00:00:00"/>
    <s v=""/>
    <n v="2999"/>
    <s v="₹1,000–₹5,000"/>
    <x v="4"/>
  </r>
  <r>
    <s v="B0BSGXWTGP"/>
    <x v="141"/>
    <x v="3"/>
    <n v="396"/>
    <n v="2999"/>
    <n v="0.86799999999999999"/>
    <n v="3.4"/>
    <n v="4138"/>
    <n v="1"/>
    <b v="0"/>
    <b v="0"/>
    <b v="0"/>
    <b v="0"/>
    <d v="2026-06-05T00:00:00"/>
    <n v="14069.199999999999"/>
    <n v="396"/>
    <s v="Under ₹500"/>
    <x v="1"/>
  </r>
  <r>
    <s v="B0D9629NJQ"/>
    <x v="142"/>
    <x v="3"/>
    <n v="1299"/>
    <n v="2799"/>
    <n v="0.53600000000000003"/>
    <n v="4"/>
    <n v="4014"/>
    <n v="1"/>
    <b v="0"/>
    <b v="0"/>
    <b v="1"/>
    <b v="0"/>
    <d v="2026-06-05T00:00:00"/>
    <n v="16056"/>
    <n v="1299"/>
    <s v="₹1,000–₹5,000"/>
    <x v="0"/>
  </r>
  <r>
    <s v="B0D45BT2S2"/>
    <x v="143"/>
    <x v="3"/>
    <n v="396"/>
    <n v="2999"/>
    <n v="0.86799999999999999"/>
    <n v="3.6"/>
    <n v="539"/>
    <n v="1"/>
    <b v="0"/>
    <b v="0"/>
    <b v="0"/>
    <b v="0"/>
    <d v="2026-06-05T00:00:00"/>
    <n v="1940.4"/>
    <n v="396"/>
    <s v="Under ₹500"/>
    <x v="1"/>
  </r>
  <r>
    <s v="B0DY7YPBJL"/>
    <x v="144"/>
    <x v="3"/>
    <n v="1099"/>
    <n v="11999"/>
    <n v="0.90800000000000003"/>
    <n v="3.7"/>
    <n v="6827"/>
    <n v="1"/>
    <b v="0"/>
    <b v="0"/>
    <b v="0"/>
    <b v="0"/>
    <d v="2026-06-05T00:00:00"/>
    <n v="25259.9"/>
    <n v="1099"/>
    <s v="₹1,000–₹5,000"/>
    <x v="1"/>
  </r>
  <r>
    <s v="B0G61HJYR3"/>
    <x v="145"/>
    <x v="3"/>
    <n v="1099"/>
    <n v="9999"/>
    <n v="0.89"/>
    <n v="4.0999999999999996"/>
    <n v="18663"/>
    <n v="1"/>
    <b v="0"/>
    <b v="0"/>
    <b v="0"/>
    <b v="0"/>
    <d v="2026-06-05T00:00:00"/>
    <n v="76518.299999999988"/>
    <n v="1099"/>
    <s v="₹1,000–₹5,000"/>
    <x v="0"/>
  </r>
  <r>
    <s v="B0CQ4KTCH1"/>
    <x v="146"/>
    <x v="3"/>
    <n v="1599"/>
    <n v="4999"/>
    <n v="0.68"/>
    <n v="4"/>
    <n v="54869"/>
    <n v="1"/>
    <b v="0"/>
    <b v="0"/>
    <b v="0"/>
    <b v="0"/>
    <d v="2026-06-05T00:00:00"/>
    <n v="219476"/>
    <n v="1599"/>
    <s v="₹1,000–₹5,000"/>
    <x v="0"/>
  </r>
  <r>
    <s v="B0FLF38P8G"/>
    <x v="147"/>
    <x v="3"/>
    <n v="1399"/>
    <n v="6999"/>
    <n v="0.8"/>
    <n v="4.0999999999999996"/>
    <n v="25992"/>
    <n v="1"/>
    <b v="0"/>
    <b v="0"/>
    <b v="0"/>
    <b v="0"/>
    <d v="2026-06-05T00:00:00"/>
    <n v="106567.2"/>
    <n v="1399"/>
    <s v="₹1,000–₹5,000"/>
    <x v="0"/>
  </r>
  <r>
    <s v="B0B854R7NS"/>
    <x v="148"/>
    <x v="3"/>
    <n v="1399"/>
    <n v="17999"/>
    <n v="0.92200000000000004"/>
    <n v="3.9"/>
    <n v="131228"/>
    <n v="1"/>
    <b v="0"/>
    <b v="0"/>
    <b v="0"/>
    <b v="0"/>
    <d v="2026-06-05T00:00:00"/>
    <n v="511789.2"/>
    <n v="1399"/>
    <s v="₹1,000–₹5,000"/>
    <x v="1"/>
  </r>
  <r>
    <s v="B0D963J6GN"/>
    <x v="149"/>
    <x v="3"/>
    <n v="1299"/>
    <n v="2799"/>
    <n v="0.53600000000000003"/>
    <n v="4"/>
    <n v="419"/>
    <n v="1"/>
    <b v="0"/>
    <b v="0"/>
    <b v="0"/>
    <b v="0"/>
    <d v="2026-06-05T00:00:00"/>
    <n v="1676"/>
    <n v="1299"/>
    <s v="₹1,000–₹5,000"/>
    <x v="0"/>
  </r>
  <r>
    <s v="B0B6BPTFT5"/>
    <x v="150"/>
    <x v="3"/>
    <n v="1499"/>
    <n v="5999"/>
    <n v="0.75"/>
    <n v="4"/>
    <n v="25468"/>
    <n v="1"/>
    <b v="0"/>
    <b v="0"/>
    <b v="0"/>
    <b v="0"/>
    <d v="2026-06-05T00:00:00"/>
    <n v="101872"/>
    <n v="1499"/>
    <s v="₹1,000–₹5,000"/>
    <x v="0"/>
  </r>
  <r>
    <s v="B0F2Z2TRK9"/>
    <x v="151"/>
    <x v="3"/>
    <n v="1299"/>
    <n v="11999"/>
    <n v="0.89200000000000002"/>
    <n v="4"/>
    <n v="61557"/>
    <n v="1"/>
    <b v="0"/>
    <b v="0"/>
    <b v="0"/>
    <b v="0"/>
    <d v="2026-06-05T00:00:00"/>
    <n v="246228"/>
    <n v="1299"/>
    <s v="₹1,000–₹5,000"/>
    <x v="0"/>
  </r>
  <r>
    <s v="B0DFYL4635"/>
    <x v="152"/>
    <x v="3"/>
    <n v="1199"/>
    <n v="8499"/>
    <n v="0.85899999999999999"/>
    <n v="3.8"/>
    <n v="5716"/>
    <n v="1"/>
    <b v="0"/>
    <b v="0"/>
    <b v="0"/>
    <b v="0"/>
    <d v="2026-06-05T00:00:00"/>
    <n v="21720.799999999999"/>
    <n v="1199"/>
    <s v="₹1,000–₹5,000"/>
    <x v="1"/>
  </r>
  <r>
    <s v="B0DS14JKB1"/>
    <x v="153"/>
    <x v="3"/>
    <n v="399"/>
    <n v="999"/>
    <n v="0.60099999999999998"/>
    <n v="3"/>
    <n v="1641"/>
    <n v="1"/>
    <b v="0"/>
    <b v="0"/>
    <b v="0"/>
    <b v="0"/>
    <d v="2026-06-05T00:00:00"/>
    <n v="4923"/>
    <n v="399"/>
    <s v="Under ₹500"/>
    <x v="1"/>
  </r>
  <r>
    <s v="B0GX7VDRDQ"/>
    <x v="154"/>
    <x v="3"/>
    <n v="449"/>
    <n v="999"/>
    <n v="0.55100000000000005"/>
    <n v="5"/>
    <n v="2"/>
    <n v="1"/>
    <b v="0"/>
    <b v="0"/>
    <b v="0"/>
    <b v="0"/>
    <d v="2026-06-05T00:00:00"/>
    <n v="10"/>
    <n v="449"/>
    <s v="Under ₹500"/>
    <x v="3"/>
  </r>
  <r>
    <s v="B0FDQK5KSZ"/>
    <x v="155"/>
    <x v="3"/>
    <n v="25499"/>
    <n v="45999"/>
    <n v="0.44600000000000001"/>
    <n v="4.2"/>
    <n v="232"/>
    <n v="1"/>
    <b v="0"/>
    <b v="0"/>
    <b v="0"/>
    <b v="0"/>
    <d v="2026-06-05T00:00:00"/>
    <n v="974.40000000000009"/>
    <n v="25499"/>
    <s v="Above ₹10,000"/>
    <x v="0"/>
  </r>
  <r>
    <s v="B0CMF25TKG"/>
    <x v="156"/>
    <x v="3"/>
    <n v="1199"/>
    <n v="11999"/>
    <n v="0.9"/>
    <n v="4"/>
    <n v="41250"/>
    <n v="1"/>
    <b v="0"/>
    <b v="0"/>
    <b v="0"/>
    <b v="0"/>
    <d v="2026-06-05T00:00:00"/>
    <n v="165000"/>
    <n v="1199"/>
    <s v="₹1,000–₹5,000"/>
    <x v="0"/>
  </r>
  <r>
    <s v="B0CVQDZWVX"/>
    <x v="157"/>
    <x v="3"/>
    <n v="14199"/>
    <n v="27999"/>
    <n v="0.49299999999999999"/>
    <n v="4.4000000000000004"/>
    <n v="776"/>
    <n v="1"/>
    <b v="0"/>
    <b v="0"/>
    <b v="0"/>
    <b v="0"/>
    <d v="2026-06-05T00:00:00"/>
    <n v="3414.4"/>
    <n v="14199"/>
    <s v="Above ₹10,000"/>
    <x v="0"/>
  </r>
  <r>
    <s v="B0FSLT35WH"/>
    <x v="158"/>
    <x v="3"/>
    <n v="2499"/>
    <n v="3999"/>
    <n v="0.375"/>
    <n v="4.0999999999999996"/>
    <n v="157"/>
    <n v="1"/>
    <b v="0"/>
    <b v="0"/>
    <b v="0"/>
    <b v="0"/>
    <d v="2026-06-05T00:00:00"/>
    <n v="643.69999999999993"/>
    <n v="2499"/>
    <s v="₹1,000–₹5,000"/>
    <x v="0"/>
  </r>
  <r>
    <s v="B0DH2SRQ3L"/>
    <x v="159"/>
    <x v="3"/>
    <n v="3999"/>
    <n v="6999"/>
    <n v="0.42899999999999999"/>
    <n v="4.0999999999999996"/>
    <n v="1712"/>
    <n v="1"/>
    <b v="0"/>
    <b v="0"/>
    <b v="0"/>
    <b v="0"/>
    <d v="2026-06-05T00:00:00"/>
    <n v="7019.2"/>
    <n v="3999"/>
    <s v="₹1,000–₹5,000"/>
    <x v="0"/>
  </r>
  <r>
    <s v="B0DGGVHMDS"/>
    <x v="160"/>
    <x v="3"/>
    <n v="2799"/>
    <n v="5499"/>
    <n v="0.49099999999999999"/>
    <n v="4.3"/>
    <n v="1386"/>
    <n v="1"/>
    <b v="0"/>
    <b v="0"/>
    <b v="0"/>
    <b v="0"/>
    <d v="2026-06-05T00:00:00"/>
    <n v="5959.8"/>
    <n v="2799"/>
    <s v="₹1,000–₹5,000"/>
    <x v="0"/>
  </r>
  <r>
    <s v="B0D95TMQ3M"/>
    <x v="161"/>
    <x v="3"/>
    <n v="396"/>
    <n v="2999"/>
    <n v="0.86799999999999999"/>
    <n v="3.5"/>
    <n v="1059"/>
    <n v="1"/>
    <b v="0"/>
    <b v="0"/>
    <b v="0"/>
    <b v="0"/>
    <d v="2026-06-05T00:00:00"/>
    <n v="3706.5"/>
    <n v="396"/>
    <s v="Under ₹500"/>
    <x v="1"/>
  </r>
  <r>
    <s v="B0G64PBQYB"/>
    <x v="162"/>
    <x v="3"/>
    <n v="5999"/>
    <n v="9999"/>
    <n v="0.4"/>
    <n v="4.4000000000000004"/>
    <n v="382"/>
    <n v="1"/>
    <b v="0"/>
    <b v="0"/>
    <b v="0"/>
    <b v="0"/>
    <d v="2026-06-05T00:00:00"/>
    <n v="1680.8000000000002"/>
    <n v="5999"/>
    <s v="₹5,000–₹10,000"/>
    <x v="0"/>
  </r>
  <r>
    <s v="B0G1T2GZP9"/>
    <x v="163"/>
    <x v="3"/>
    <n v="1399"/>
    <n v="6999"/>
    <n v="0.8"/>
    <n v="4"/>
    <n v="21378"/>
    <n v="1"/>
    <b v="0"/>
    <b v="0"/>
    <b v="0"/>
    <b v="0"/>
    <d v="2026-06-05T00:00:00"/>
    <n v="85512"/>
    <n v="1399"/>
    <s v="₹1,000–₹5,000"/>
    <x v="0"/>
  </r>
  <r>
    <s v="B0CQRQK8L8"/>
    <x v="164"/>
    <x v="3"/>
    <n v="1199"/>
    <n v="6999"/>
    <n v="0.82899999999999996"/>
    <n v="4"/>
    <n v="5456"/>
    <n v="1"/>
    <b v="0"/>
    <b v="0"/>
    <b v="0"/>
    <b v="0"/>
    <d v="2026-06-05T00:00:00"/>
    <n v="21824"/>
    <n v="1199"/>
    <s v="₹1,000–₹5,000"/>
    <x v="0"/>
  </r>
  <r>
    <s v="B0GRVG7C8D"/>
    <x v="165"/>
    <x v="3"/>
    <m/>
    <m/>
    <m/>
    <n v="3.8"/>
    <n v="7"/>
    <n v="1"/>
    <b v="0"/>
    <b v="0"/>
    <b v="0"/>
    <b v="0"/>
    <d v="2026-06-05T00:00:00"/>
    <n v="26.599999999999998"/>
    <m/>
    <s v=" "/>
    <x v="1"/>
  </r>
  <r>
    <s v="B0F993RN8H"/>
    <x v="166"/>
    <x v="3"/>
    <n v="2099"/>
    <n v="21000"/>
    <n v="0.9"/>
    <n v="3.9"/>
    <n v="2395"/>
    <n v="1"/>
    <b v="0"/>
    <b v="0"/>
    <b v="0"/>
    <b v="0"/>
    <d v="2026-06-05T00:00:00"/>
    <n v="9340.5"/>
    <n v="2099"/>
    <s v="₹1,000–₹5,000"/>
    <x v="1"/>
  </r>
  <r>
    <s v="B0D1VKS2L9"/>
    <x v="167"/>
    <x v="3"/>
    <n v="1599"/>
    <n v="2995"/>
    <n v="0.46600000000000003"/>
    <n v="4"/>
    <n v="2493"/>
    <n v="1"/>
    <b v="0"/>
    <b v="0"/>
    <b v="0"/>
    <b v="0"/>
    <d v="2026-06-05T00:00:00"/>
    <n v="9972"/>
    <n v="1599"/>
    <s v="₹1,000–₹5,000"/>
    <x v="0"/>
  </r>
  <r>
    <s v="B0D5LRGSCR"/>
    <x v="168"/>
    <x v="3"/>
    <n v="1099"/>
    <n v="8449"/>
    <n v="0.87"/>
    <n v="4.0999999999999996"/>
    <n v="34928"/>
    <n v="1"/>
    <b v="0"/>
    <b v="0"/>
    <b v="0"/>
    <b v="0"/>
    <d v="2026-06-05T00:00:00"/>
    <n v="143204.79999999999"/>
    <n v="1099"/>
    <s v="₹1,000–₹5,000"/>
    <x v="0"/>
  </r>
  <r>
    <s v="B0FP2H4K27"/>
    <x v="169"/>
    <x v="3"/>
    <n v="1899"/>
    <n v="18999"/>
    <n v="0.9"/>
    <n v="3.8"/>
    <n v="6885"/>
    <n v="1"/>
    <b v="0"/>
    <b v="0"/>
    <b v="0"/>
    <b v="0"/>
    <d v="2026-06-05T00:00:00"/>
    <n v="26163"/>
    <n v="1899"/>
    <s v="₹1,000–₹5,000"/>
    <x v="1"/>
  </r>
  <r>
    <s v="B0BRKXXPZ7"/>
    <x v="170"/>
    <x v="3"/>
    <n v="1499"/>
    <n v="11999"/>
    <n v="0.875"/>
    <n v="3.9"/>
    <n v="105437"/>
    <n v="1"/>
    <b v="0"/>
    <b v="0"/>
    <b v="0"/>
    <b v="0"/>
    <d v="2026-06-05T00:00:00"/>
    <n v="411204.3"/>
    <n v="1499"/>
    <s v="₹1,000–₹5,000"/>
    <x v="1"/>
  </r>
  <r>
    <s v="B0DSWCCSXD"/>
    <x v="171"/>
    <x v="3"/>
    <n v="939"/>
    <n v="4999"/>
    <n v="0.81200000000000006"/>
    <n v="4"/>
    <n v="146"/>
    <n v="1"/>
    <b v="0"/>
    <b v="0"/>
    <b v="0"/>
    <b v="0"/>
    <d v="2026-06-05T00:00:00"/>
    <n v="584"/>
    <n v="939"/>
    <s v="₹500–₹1,000"/>
    <x v="0"/>
  </r>
  <r>
    <s v="B0DNW6WRDZ"/>
    <x v="172"/>
    <x v="3"/>
    <n v="399"/>
    <n v="999"/>
    <n v="0.60099999999999998"/>
    <n v="3.2"/>
    <n v="335"/>
    <n v="1"/>
    <b v="0"/>
    <b v="0"/>
    <b v="0"/>
    <b v="0"/>
    <d v="2026-06-05T00:00:00"/>
    <n v="1072"/>
    <n v="399"/>
    <s v="Under ₹500"/>
    <x v="1"/>
  </r>
  <r>
    <s v="B0DDL8SLXN"/>
    <x v="173"/>
    <x v="3"/>
    <n v="14999"/>
    <n v="24999"/>
    <n v="0.4"/>
    <n v="4.5"/>
    <n v="1171"/>
    <n v="1"/>
    <b v="0"/>
    <b v="0"/>
    <b v="0"/>
    <b v="0"/>
    <d v="2026-06-05T00:00:00"/>
    <n v="5269.5"/>
    <n v="14999"/>
    <s v="Above ₹10,000"/>
    <x v="3"/>
  </r>
  <r>
    <s v="B0DDQCDQQG"/>
    <x v="174"/>
    <x v="3"/>
    <n v="1699"/>
    <n v="3999"/>
    <n v="0.57499999999999996"/>
    <n v="4.0999999999999996"/>
    <n v="210"/>
    <n v="1"/>
    <b v="0"/>
    <b v="0"/>
    <b v="0"/>
    <b v="0"/>
    <d v="2026-06-05T00:00:00"/>
    <n v="860.99999999999989"/>
    <n v="1699"/>
    <s v="₹1,000–₹5,000"/>
    <x v="0"/>
  </r>
  <r>
    <s v="B0DKBZYXZY"/>
    <x v="175"/>
    <x v="3"/>
    <n v="1099"/>
    <n v="16999"/>
    <n v="0.93500000000000005"/>
    <n v="3.4"/>
    <n v="924"/>
    <n v="1"/>
    <b v="0"/>
    <b v="0"/>
    <b v="0"/>
    <b v="0"/>
    <d v="2026-06-05T00:00:00"/>
    <n v="3141.6"/>
    <n v="1099"/>
    <s v="₹1,000–₹5,000"/>
    <x v="1"/>
  </r>
  <r>
    <s v="B0BY5BRLRB"/>
    <x v="176"/>
    <x v="3"/>
    <n v="39990"/>
    <n v="70990"/>
    <n v="0.437"/>
    <n v="4.0999999999999996"/>
    <n v="69"/>
    <n v="1"/>
    <b v="0"/>
    <b v="0"/>
    <b v="0"/>
    <b v="0"/>
    <d v="2026-06-05T00:00:00"/>
    <n v="282.89999999999998"/>
    <n v="39990"/>
    <s v="Above ₹10,000"/>
    <x v="0"/>
  </r>
  <r>
    <s v="B0GLQKTKF6"/>
    <x v="177"/>
    <x v="3"/>
    <n v="4499"/>
    <n v="14999"/>
    <n v="0.7"/>
    <n v="4.5999999999999996"/>
    <n v="71"/>
    <n v="1"/>
    <b v="0"/>
    <b v="0"/>
    <b v="0"/>
    <b v="0"/>
    <d v="2026-06-05T00:00:00"/>
    <n v="326.59999999999997"/>
    <n v="4499"/>
    <s v="₹1,000–₹5,000"/>
    <x v="3"/>
  </r>
  <r>
    <s v="B0GPDV4GGT"/>
    <x v="178"/>
    <x v="3"/>
    <n v="2999"/>
    <n v="6499"/>
    <n v="0.53900000000000003"/>
    <n v="1"/>
    <n v="1"/>
    <n v="1"/>
    <b v="0"/>
    <b v="0"/>
    <b v="0"/>
    <b v="0"/>
    <d v="2026-06-05T00:00:00"/>
    <n v="1"/>
    <n v="2999"/>
    <s v="₹1,000–₹5,000"/>
    <x v="5"/>
  </r>
  <r>
    <s v="B0GH7QLM56"/>
    <x v="179"/>
    <x v="3"/>
    <n v="1299"/>
    <n v="14999"/>
    <n v="0.91300000000000003"/>
    <n v="4"/>
    <n v="1890"/>
    <n v="1"/>
    <b v="0"/>
    <b v="0"/>
    <b v="0"/>
    <b v="0"/>
    <d v="2026-06-05T00:00:00"/>
    <n v="7560"/>
    <n v="1299"/>
    <s v="₹1,000–₹5,000"/>
    <x v="0"/>
  </r>
  <r>
    <s v="B0CLRCTC58"/>
    <x v="180"/>
    <x v="3"/>
    <n v="4499"/>
    <n v="11995"/>
    <n v="0.625"/>
    <n v="4"/>
    <n v="815"/>
    <n v="1"/>
    <b v="0"/>
    <b v="0"/>
    <b v="0"/>
    <b v="0"/>
    <d v="2026-06-05T00:00:00"/>
    <n v="3260"/>
    <n v="4499"/>
    <s v="₹1,000–₹5,000"/>
    <x v="0"/>
  </r>
  <r>
    <s v="B0F5HRC4QC"/>
    <x v="181"/>
    <x v="3"/>
    <n v="2299"/>
    <n v="7995"/>
    <n v="0.71199999999999997"/>
    <n v="4"/>
    <n v="1844"/>
    <n v="1"/>
    <b v="0"/>
    <b v="0"/>
    <b v="0"/>
    <b v="0"/>
    <d v="2026-06-05T00:00:00"/>
    <n v="7376"/>
    <n v="2299"/>
    <s v="₹1,000–₹5,000"/>
    <x v="0"/>
  </r>
  <r>
    <s v="B09HVCFLG4"/>
    <x v="182"/>
    <x v="3"/>
    <n v="9999"/>
    <n v="25999"/>
    <n v="0.61499999999999999"/>
    <n v="3.9"/>
    <n v="1613"/>
    <n v="1"/>
    <b v="0"/>
    <b v="0"/>
    <b v="0"/>
    <b v="1"/>
    <d v="2026-06-05T00:00:00"/>
    <n v="6290.7"/>
    <n v="9999"/>
    <s v="₹5,000–₹10,000"/>
    <x v="1"/>
  </r>
  <r>
    <s v="B0DZ2PDXLS"/>
    <x v="183"/>
    <x v="3"/>
    <n v="1199"/>
    <n v="5999"/>
    <n v="0.8"/>
    <n v="3.8"/>
    <n v="896"/>
    <n v="1"/>
    <b v="0"/>
    <b v="0"/>
    <b v="0"/>
    <b v="0"/>
    <d v="2026-06-05T00:00:00"/>
    <n v="3404.7999999999997"/>
    <n v="1199"/>
    <s v="₹1,000–₹5,000"/>
    <x v="1"/>
  </r>
  <r>
    <s v="B0CBXBY5CK"/>
    <x v="184"/>
    <x v="3"/>
    <n v="1349"/>
    <n v="4999"/>
    <n v="0.73"/>
    <n v="3.1"/>
    <n v="1445"/>
    <n v="1"/>
    <b v="0"/>
    <b v="0"/>
    <b v="0"/>
    <b v="0"/>
    <d v="2026-06-05T00:00:00"/>
    <n v="4479.5"/>
    <n v="1349"/>
    <s v="₹1,000–₹5,000"/>
    <x v="1"/>
  </r>
  <r>
    <s v="B0DCZWZ39H"/>
    <x v="185"/>
    <x v="3"/>
    <n v="2690"/>
    <n v="4999"/>
    <n v="0.46200000000000002"/>
    <n v="4.0999999999999996"/>
    <n v="1158"/>
    <n v="1"/>
    <b v="0"/>
    <b v="0"/>
    <b v="0"/>
    <b v="0"/>
    <d v="2026-06-05T00:00:00"/>
    <n v="4747.7999999999993"/>
    <n v="2690"/>
    <s v="₹1,000–₹5,000"/>
    <x v="0"/>
  </r>
  <r>
    <s v="B0FC6CGZTP"/>
    <x v="186"/>
    <x v="3"/>
    <n v="6499"/>
    <n v="7999"/>
    <n v="0.188"/>
    <n v="4.0999999999999996"/>
    <n v="491"/>
    <n v="1"/>
    <b v="0"/>
    <b v="0"/>
    <b v="0"/>
    <b v="0"/>
    <d v="2026-06-05T00:00:00"/>
    <n v="2013.1"/>
    <n v="6499"/>
    <s v="₹5,000–₹10,000"/>
    <x v="0"/>
  </r>
  <r>
    <s v="B0DFYMY37Y"/>
    <x v="187"/>
    <x v="3"/>
    <n v="4999"/>
    <n v="6999"/>
    <n v="0.28599999999999998"/>
    <n v="4.2"/>
    <n v="87"/>
    <n v="1"/>
    <b v="0"/>
    <b v="0"/>
    <b v="0"/>
    <b v="0"/>
    <d v="2026-06-05T00:00:00"/>
    <n v="365.40000000000003"/>
    <n v="4999"/>
    <s v="₹1,000–₹5,000"/>
    <x v="0"/>
  </r>
  <r>
    <s v="B0F4RH8CHC"/>
    <x v="188"/>
    <x v="3"/>
    <n v="1699"/>
    <n v="6999"/>
    <n v="0.75700000000000001"/>
    <n v="4"/>
    <n v="13"/>
    <n v="1"/>
    <b v="0"/>
    <b v="0"/>
    <b v="0"/>
    <b v="0"/>
    <d v="2026-06-05T00:00:00"/>
    <n v="52"/>
    <n v="1699"/>
    <s v="₹1,000–₹5,000"/>
    <x v="0"/>
  </r>
  <r>
    <s v="B0FHWWDRRM"/>
    <x v="189"/>
    <x v="4"/>
    <n v="18499"/>
    <n v="19999"/>
    <n v="7.4999999999999997E-2"/>
    <n v="4.4000000000000004"/>
    <n v="749"/>
    <n v="3"/>
    <b v="0"/>
    <b v="0"/>
    <b v="1"/>
    <b v="0"/>
    <d v="2026-06-05T00:00:00"/>
    <n v="3295.6000000000004"/>
    <n v="18499"/>
    <s v="Above ₹10,000"/>
    <x v="0"/>
  </r>
  <r>
    <s v="B0FBRVRF4F"/>
    <x v="190"/>
    <x v="4"/>
    <n v="19999"/>
    <m/>
    <m/>
    <n v="4.3"/>
    <n v="669"/>
    <n v="2"/>
    <b v="0"/>
    <b v="0"/>
    <b v="0"/>
    <b v="0"/>
    <d v="2026-06-05T00:00:00"/>
    <n v="2876.7"/>
    <n v="19999"/>
    <s v="Above ₹10,000"/>
    <x v="0"/>
  </r>
  <r>
    <s v="B0GWMMPJ42"/>
    <x v="191"/>
    <x v="4"/>
    <n v="7550"/>
    <n v="24990"/>
    <n v="0.69799999999999995"/>
    <n v="3.6"/>
    <n v="5"/>
    <n v="1"/>
    <b v="0"/>
    <b v="0"/>
    <b v="0"/>
    <b v="0"/>
    <d v="2026-06-05T00:00:00"/>
    <n v="18"/>
    <n v="7550"/>
    <s v="₹5,000–₹10,000"/>
    <x v="1"/>
  </r>
  <r>
    <s v="B0G24QRHLG"/>
    <x v="192"/>
    <x v="4"/>
    <n v="14999"/>
    <n v="19000"/>
    <n v="0.21099999999999999"/>
    <n v="4.3"/>
    <n v="521"/>
    <n v="1"/>
    <b v="0"/>
    <b v="0"/>
    <b v="0"/>
    <b v="0"/>
    <d v="2026-06-05T00:00:00"/>
    <n v="2240.2999999999997"/>
    <n v="14999"/>
    <s v="Above ₹10,000"/>
    <x v="0"/>
  </r>
  <r>
    <s v="B0GQSH6FBT"/>
    <x v="193"/>
    <x v="4"/>
    <n v="19843"/>
    <n v="24999"/>
    <n v="0.20599999999999999"/>
    <n v="3.8"/>
    <n v="31"/>
    <n v="2"/>
    <b v="0"/>
    <b v="0"/>
    <b v="0"/>
    <b v="0"/>
    <d v="2026-06-05T00:00:00"/>
    <n v="117.8"/>
    <n v="19843"/>
    <s v="Above ₹10,000"/>
    <x v="1"/>
  </r>
  <r>
    <s v="B0CDLBNZQH"/>
    <x v="194"/>
    <x v="4"/>
    <n v="11457"/>
    <m/>
    <m/>
    <n v="3.8"/>
    <n v="204"/>
    <n v="11"/>
    <b v="0"/>
    <b v="0"/>
    <b v="0"/>
    <b v="0"/>
    <d v="2026-06-05T00:00:00"/>
    <n v="775.19999999999993"/>
    <n v="11457"/>
    <s v="Above ₹10,000"/>
    <x v="1"/>
  </r>
  <r>
    <s v="B092DXT698"/>
    <x v="195"/>
    <x v="4"/>
    <n v="11999"/>
    <n v="21999"/>
    <n v="0.45500000000000002"/>
    <n v="4"/>
    <n v="2028"/>
    <n v="1"/>
    <b v="0"/>
    <b v="0"/>
    <b v="0"/>
    <b v="0"/>
    <d v="2026-06-05T00:00:00"/>
    <n v="8112"/>
    <n v="11999"/>
    <s v="Above ₹10,000"/>
    <x v="0"/>
  </r>
  <r>
    <s v="B0CGWTH8YH"/>
    <x v="196"/>
    <x v="4"/>
    <n v="10683.5"/>
    <n v="41646.15"/>
    <n v="0.74299999999999999"/>
    <n v="4.3"/>
    <n v="970"/>
    <n v="10"/>
    <b v="0"/>
    <b v="0"/>
    <b v="0"/>
    <b v="0"/>
    <d v="2026-06-05T00:00:00"/>
    <n v="4171"/>
    <n v="10683.5"/>
    <s v="Above ₹10,000"/>
    <x v="0"/>
  </r>
  <r>
    <s v="B0G4QQ4FYB"/>
    <x v="197"/>
    <x v="4"/>
    <n v="34999"/>
    <n v="35999"/>
    <n v="2.8000000000000001E-2"/>
    <n v="4.0999999999999996"/>
    <n v="654"/>
    <n v="1"/>
    <b v="0"/>
    <b v="0"/>
    <b v="0"/>
    <b v="0"/>
    <d v="2026-06-05T00:00:00"/>
    <n v="2681.3999999999996"/>
    <n v="34999"/>
    <s v="Above ₹10,000"/>
    <x v="0"/>
  </r>
  <r>
    <s v="B0FNWSP5L3"/>
    <x v="198"/>
    <x v="4"/>
    <n v="36999"/>
    <n v="41999"/>
    <n v="0.11899999999999999"/>
    <n v="4.5"/>
    <n v="175"/>
    <n v="1"/>
    <b v="0"/>
    <b v="0"/>
    <b v="0"/>
    <b v="0"/>
    <d v="2026-06-05T00:00:00"/>
    <n v="787.5"/>
    <n v="36999"/>
    <s v="Above ₹10,000"/>
    <x v="3"/>
  </r>
  <r>
    <s v="B0F4K27HBJ"/>
    <x v="199"/>
    <x v="4"/>
    <n v="3999"/>
    <n v="5999"/>
    <n v="0.33300000000000002"/>
    <n v="1.9"/>
    <n v="40"/>
    <n v="1"/>
    <b v="0"/>
    <b v="0"/>
    <b v="0"/>
    <b v="0"/>
    <d v="2026-06-05T00:00:00"/>
    <n v="76"/>
    <n v="3999"/>
    <s v="₹1,000–₹5,000"/>
    <x v="5"/>
  </r>
  <r>
    <s v="B0DP5215CG"/>
    <x v="200"/>
    <x v="4"/>
    <n v="3999"/>
    <n v="5999"/>
    <n v="0.33300000000000002"/>
    <n v="2.7"/>
    <n v="29"/>
    <n v="1"/>
    <b v="0"/>
    <b v="0"/>
    <b v="0"/>
    <b v="0"/>
    <d v="2026-06-05T00:00:00"/>
    <n v="78.300000000000011"/>
    <n v="3999"/>
    <s v="₹1,000–₹5,000"/>
    <x v="2"/>
  </r>
  <r>
    <s v="B0GZH4QV3T"/>
    <x v="201"/>
    <x v="4"/>
    <n v="3949"/>
    <n v="5999"/>
    <n v="0.34200000000000003"/>
    <n v="1"/>
    <n v="1"/>
    <n v="1"/>
    <b v="0"/>
    <b v="0"/>
    <b v="0"/>
    <b v="0"/>
    <d v="2026-06-05T00:00:00"/>
    <n v="1"/>
    <n v="3949"/>
    <s v="₹1,000–₹5,000"/>
    <x v="5"/>
  </r>
  <r>
    <s v="B0G1C13SB3"/>
    <x v="202"/>
    <x v="4"/>
    <n v="25999"/>
    <n v="27999"/>
    <n v="7.0999999999999994E-2"/>
    <n v="4.5"/>
    <n v="199"/>
    <n v="1"/>
    <b v="0"/>
    <b v="0"/>
    <b v="0"/>
    <b v="0"/>
    <d v="2026-06-05T00:00:00"/>
    <n v="895.5"/>
    <n v="25999"/>
    <s v="Above ₹10,000"/>
    <x v="3"/>
  </r>
  <r>
    <s v="B0GQV514CT"/>
    <x v="203"/>
    <x v="4"/>
    <n v="61699"/>
    <n v="64900"/>
    <n v="4.9000000000000002E-2"/>
    <n v="4.7"/>
    <n v="39"/>
    <n v="1"/>
    <b v="0"/>
    <b v="0"/>
    <b v="0"/>
    <b v="0"/>
    <d v="2026-06-05T00:00:00"/>
    <n v="183.3"/>
    <n v="61699"/>
    <s v="Above ₹10,000"/>
    <x v="3"/>
  </r>
  <r>
    <s v="B0G2RVGCGC"/>
    <x v="204"/>
    <x v="4"/>
    <n v="31999"/>
    <n v="41000"/>
    <n v="0.22"/>
    <n v="4.3"/>
    <n v="70"/>
    <n v="1"/>
    <b v="0"/>
    <b v="0"/>
    <b v="0"/>
    <b v="0"/>
    <d v="2026-06-05T00:00:00"/>
    <n v="301"/>
    <n v="31999"/>
    <s v="Above ₹10,000"/>
    <x v="0"/>
  </r>
  <r>
    <s v="B0CG89T15H"/>
    <x v="205"/>
    <x v="4"/>
    <n v="9635"/>
    <m/>
    <m/>
    <n v="4"/>
    <n v="2500"/>
    <n v="1"/>
    <b v="0"/>
    <b v="0"/>
    <b v="0"/>
    <b v="0"/>
    <d v="2026-06-05T00:00:00"/>
    <n v="10000"/>
    <n v="9635"/>
    <s v="₹5,000–₹10,000"/>
    <x v="0"/>
  </r>
  <r>
    <s v="B0D6G4CVZ7"/>
    <x v="206"/>
    <x v="4"/>
    <n v="21999"/>
    <n v="32000"/>
    <n v="0.313"/>
    <n v="4.5"/>
    <n v="2070"/>
    <n v="1"/>
    <b v="0"/>
    <b v="0"/>
    <b v="0"/>
    <b v="0"/>
    <d v="2026-06-05T00:00:00"/>
    <n v="9315"/>
    <n v="21999"/>
    <s v="Above ₹10,000"/>
    <x v="3"/>
  </r>
  <r>
    <s v="B0F4QYKYND"/>
    <x v="207"/>
    <x v="4"/>
    <n v="6162.97"/>
    <m/>
    <m/>
    <n v="3.7"/>
    <n v="805"/>
    <n v="14"/>
    <b v="0"/>
    <b v="0"/>
    <b v="0"/>
    <b v="0"/>
    <d v="2026-06-05T00:00:00"/>
    <n v="2978.5"/>
    <n v="6162.97"/>
    <s v="₹5,000–₹10,000"/>
    <x v="1"/>
  </r>
  <r>
    <s v="B0FJG2TL3C"/>
    <x v="208"/>
    <x v="4"/>
    <n v="26999"/>
    <n v="29000"/>
    <n v="6.9000000000000006E-2"/>
    <n v="4.3"/>
    <n v="639"/>
    <n v="1"/>
    <b v="0"/>
    <b v="0"/>
    <b v="0"/>
    <b v="0"/>
    <d v="2026-06-05T00:00:00"/>
    <n v="2747.7"/>
    <n v="26999"/>
    <s v="Above ₹10,000"/>
    <x v="0"/>
  </r>
  <r>
    <s v="B0GDQ26XZB"/>
    <x v="209"/>
    <x v="4"/>
    <n v="26999"/>
    <n v="29999"/>
    <n v="0.1"/>
    <n v="4.2"/>
    <n v="130"/>
    <n v="1"/>
    <b v="0"/>
    <b v="0"/>
    <b v="0"/>
    <b v="0"/>
    <d v="2026-06-05T00:00:00"/>
    <n v="546"/>
    <n v="26999"/>
    <s v="Above ₹10,000"/>
    <x v="0"/>
  </r>
  <r>
    <s v="B0CTH1JX6P"/>
    <x v="210"/>
    <x v="4"/>
    <n v="9860.76"/>
    <n v="24823"/>
    <n v="0.60299999999999998"/>
    <n v="3.9"/>
    <n v="1288"/>
    <n v="7"/>
    <b v="0"/>
    <b v="0"/>
    <b v="0"/>
    <b v="0"/>
    <d v="2026-06-05T00:00:00"/>
    <n v="5023.2"/>
    <n v="9860.76"/>
    <s v="₹5,000–₹10,000"/>
    <x v="1"/>
  </r>
  <r>
    <s v="B0GGZNTXC4"/>
    <x v="211"/>
    <x v="4"/>
    <n v="20000"/>
    <n v="25999"/>
    <n v="0.23100000000000001"/>
    <n v="3.6"/>
    <n v="25"/>
    <n v="10"/>
    <b v="0"/>
    <b v="0"/>
    <b v="0"/>
    <b v="0"/>
    <d v="2026-06-05T00:00:00"/>
    <n v="90"/>
    <n v="20000"/>
    <s v="Above ₹10,000"/>
    <x v="1"/>
  </r>
  <r>
    <s v="B0GWM9X76Q"/>
    <x v="212"/>
    <x v="4"/>
    <n v="7550"/>
    <n v="24990"/>
    <n v="0.69799999999999995"/>
    <n v="5"/>
    <n v="1"/>
    <n v="1"/>
    <b v="0"/>
    <b v="0"/>
    <b v="0"/>
    <b v="0"/>
    <d v="2026-06-05T00:00:00"/>
    <n v="5"/>
    <n v="7550"/>
    <s v="₹5,000–₹10,000"/>
    <x v="3"/>
  </r>
  <r>
    <s v="B0GWHYQW77"/>
    <x v="213"/>
    <x v="4"/>
    <n v="39999"/>
    <n v="70000"/>
    <n v="0.42899999999999999"/>
    <n v="4.4000000000000004"/>
    <n v="58"/>
    <n v="1"/>
    <b v="0"/>
    <b v="0"/>
    <b v="0"/>
    <b v="0"/>
    <d v="2026-06-05T00:00:00"/>
    <n v="255.20000000000002"/>
    <n v="39999"/>
    <s v="Above ₹10,000"/>
    <x v="0"/>
  </r>
  <r>
    <s v="B0GP6YWSY2"/>
    <x v="214"/>
    <x v="4"/>
    <n v="39999"/>
    <n v="58000"/>
    <n v="0.31"/>
    <n v="4.3"/>
    <n v="7"/>
    <n v="1"/>
    <b v="0"/>
    <b v="0"/>
    <b v="0"/>
    <b v="0"/>
    <d v="2026-06-05T00:00:00"/>
    <n v="30.099999999999998"/>
    <n v="39999"/>
    <s v="Above ₹10,000"/>
    <x v="0"/>
  </r>
  <r>
    <s v="B0DW49RMHR"/>
    <x v="215"/>
    <x v="4"/>
    <n v="32999"/>
    <n v="39999"/>
    <n v="0.17499999999999999"/>
    <n v="4.5"/>
    <n v="2102"/>
    <n v="1"/>
    <b v="0"/>
    <b v="0"/>
    <b v="0"/>
    <b v="0"/>
    <d v="2026-06-05T00:00:00"/>
    <n v="9459"/>
    <n v="32999"/>
    <s v="Above ₹10,000"/>
    <x v="3"/>
  </r>
  <r>
    <s v="B0919NL1HZ"/>
    <x v="216"/>
    <x v="4"/>
    <n v="10999"/>
    <n v="17999"/>
    <n v="0.38900000000000001"/>
    <n v="4.0999999999999996"/>
    <n v="1130"/>
    <n v="1"/>
    <b v="0"/>
    <b v="0"/>
    <b v="0"/>
    <b v="0"/>
    <d v="2026-06-05T00:00:00"/>
    <n v="4633"/>
    <n v="10999"/>
    <s v="Above ₹10,000"/>
    <x v="0"/>
  </r>
  <r>
    <s v="B0CKLCYJFB"/>
    <x v="217"/>
    <x v="4"/>
    <n v="8349"/>
    <n v="15999"/>
    <n v="0.47799999999999998"/>
    <n v="3.6"/>
    <n v="146"/>
    <n v="1"/>
    <b v="0"/>
    <b v="0"/>
    <b v="0"/>
    <b v="0"/>
    <d v="2026-06-05T00:00:00"/>
    <n v="525.6"/>
    <n v="8349"/>
    <s v="₹5,000–₹10,000"/>
    <x v="1"/>
  </r>
  <r>
    <s v="B0D7N23QKD"/>
    <x v="218"/>
    <x v="4"/>
    <n v="35999"/>
    <n v="47999"/>
    <n v="0.25"/>
    <n v="4.5"/>
    <n v="939"/>
    <n v="1"/>
    <b v="0"/>
    <b v="0"/>
    <b v="0"/>
    <b v="0"/>
    <d v="2026-06-05T00:00:00"/>
    <n v="4225.5"/>
    <n v="35999"/>
    <s v="Above ₹10,000"/>
    <x v="3"/>
  </r>
  <r>
    <s v="B0FCR8HZVF"/>
    <x v="219"/>
    <x v="4"/>
    <n v="54999"/>
    <n v="79000"/>
    <n v="0.30399999999999999"/>
    <n v="4.4000000000000004"/>
    <n v="291"/>
    <n v="1"/>
    <b v="0"/>
    <b v="0"/>
    <b v="0"/>
    <b v="0"/>
    <d v="2026-06-05T00:00:00"/>
    <n v="1280.4000000000001"/>
    <n v="54999"/>
    <s v="Above ₹10,000"/>
    <x v="0"/>
  </r>
  <r>
    <s v="B0BY2ZZ4SJ"/>
    <x v="220"/>
    <x v="4"/>
    <n v="28999"/>
    <n v="39999"/>
    <n v="0.27500000000000002"/>
    <n v="4.5"/>
    <n v="743"/>
    <n v="1"/>
    <b v="0"/>
    <b v="0"/>
    <b v="0"/>
    <b v="0"/>
    <d v="2026-06-05T00:00:00"/>
    <n v="3343.5"/>
    <n v="28999"/>
    <s v="Above ₹10,000"/>
    <x v="3"/>
  </r>
  <r>
    <s v="B0DZ79Q1DB"/>
    <x v="221"/>
    <x v="4"/>
    <n v="34400"/>
    <n v="34900"/>
    <n v="1.4E-2"/>
    <n v="4.5999999999999996"/>
    <n v="1602"/>
    <n v="1"/>
    <b v="0"/>
    <b v="0"/>
    <b v="0"/>
    <b v="0"/>
    <d v="2026-06-05T00:00:00"/>
    <n v="7369.2"/>
    <n v="34400"/>
    <s v="Above ₹10,000"/>
    <x v="3"/>
  </r>
  <r>
    <s v="B0GX6Q2NBS"/>
    <x v="222"/>
    <x v="4"/>
    <n v="64999"/>
    <n v="67999"/>
    <n v="4.3999999999999997E-2"/>
    <n v="4.2"/>
    <n v="41"/>
    <n v="1"/>
    <b v="0"/>
    <b v="0"/>
    <b v="0"/>
    <b v="0"/>
    <d v="2026-06-05T00:00:00"/>
    <n v="172.20000000000002"/>
    <n v="64999"/>
    <s v="Above ₹10,000"/>
    <x v="0"/>
  </r>
  <r>
    <s v="B0GWMPF9PM"/>
    <x v="223"/>
    <x v="4"/>
    <n v="7550"/>
    <n v="24990"/>
    <n v="0.69799999999999995"/>
    <n v="3"/>
    <n v="9"/>
    <n v="1"/>
    <b v="0"/>
    <b v="0"/>
    <b v="0"/>
    <b v="0"/>
    <d v="2026-06-05T00:00:00"/>
    <n v="27"/>
    <n v="7550"/>
    <s v="₹5,000–₹10,000"/>
    <x v="1"/>
  </r>
  <r>
    <s v="B0GX6W5XYT"/>
    <x v="224"/>
    <x v="4"/>
    <n v="59999"/>
    <n v="62999"/>
    <n v="4.8000000000000001E-2"/>
    <n v="4.2"/>
    <n v="41"/>
    <n v="1"/>
    <b v="0"/>
    <b v="0"/>
    <b v="0"/>
    <b v="0"/>
    <d v="2026-06-05T00:00:00"/>
    <n v="172.20000000000002"/>
    <n v="59999"/>
    <s v="Above ₹10,000"/>
    <x v="0"/>
  </r>
  <r>
    <s v="B0GQTJDRSL"/>
    <x v="225"/>
    <x v="4"/>
    <n v="25499"/>
    <n v="44999"/>
    <n v="0.433"/>
    <n v="3.6"/>
    <n v="65"/>
    <n v="1"/>
    <b v="0"/>
    <b v="0"/>
    <b v="0"/>
    <b v="0"/>
    <d v="2026-06-05T00:00:00"/>
    <n v="234"/>
    <n v="25499"/>
    <s v="Above ₹10,000"/>
    <x v="1"/>
  </r>
  <r>
    <s v="B0DZCB3G9Q"/>
    <x v="226"/>
    <x v="4"/>
    <n v="33999"/>
    <n v="48999"/>
    <n v="0.30599999999999999"/>
    <n v="4.4000000000000004"/>
    <n v="787"/>
    <n v="1"/>
    <b v="0"/>
    <b v="0"/>
    <b v="0"/>
    <b v="0"/>
    <d v="2026-06-05T00:00:00"/>
    <n v="3462.8"/>
    <n v="33999"/>
    <s v="Above ₹10,000"/>
    <x v="0"/>
  </r>
  <r>
    <s v="B0FVXV5Z8W"/>
    <x v="227"/>
    <x v="4"/>
    <n v="25790"/>
    <n v="28000"/>
    <n v="7.9000000000000001E-2"/>
    <n v="3.8"/>
    <n v="58"/>
    <n v="1"/>
    <b v="0"/>
    <b v="0"/>
    <b v="0"/>
    <b v="0"/>
    <d v="2026-06-05T00:00:00"/>
    <n v="220.39999999999998"/>
    <n v="25790"/>
    <s v="Above ₹10,000"/>
    <x v="1"/>
  </r>
  <r>
    <s v="B0GGB63MFD"/>
    <x v="228"/>
    <x v="4"/>
    <n v="7199"/>
    <n v="8999"/>
    <n v="0.2"/>
    <n v="2.6"/>
    <n v="3"/>
    <n v="1"/>
    <b v="0"/>
    <b v="0"/>
    <b v="0"/>
    <b v="0"/>
    <d v="2026-06-05T00:00:00"/>
    <n v="7.8000000000000007"/>
    <n v="7199"/>
    <s v="₹5,000–₹10,000"/>
    <x v="2"/>
  </r>
  <r>
    <s v="B0GMJMGKRC"/>
    <x v="229"/>
    <x v="4"/>
    <n v="7550"/>
    <n v="24990"/>
    <n v="0.69799999999999995"/>
    <n v="3.3"/>
    <n v="11"/>
    <n v="1"/>
    <b v="0"/>
    <b v="0"/>
    <b v="0"/>
    <b v="0"/>
    <d v="2026-06-05T00:00:00"/>
    <n v="36.299999999999997"/>
    <n v="7550"/>
    <s v="₹5,000–₹10,000"/>
    <x v="1"/>
  </r>
  <r>
    <s v="B0CJ389HC1"/>
    <x v="230"/>
    <x v="4"/>
    <n v="18749"/>
    <n v="25999"/>
    <n v="0.27900000000000003"/>
    <n v="4"/>
    <n v="238"/>
    <n v="1"/>
    <b v="0"/>
    <b v="0"/>
    <b v="0"/>
    <b v="0"/>
    <d v="2026-06-05T00:00:00"/>
    <n v="952"/>
    <n v="18749"/>
    <s v="Above ₹10,000"/>
    <x v="0"/>
  </r>
  <r>
    <s v="B0GPVLKNN4"/>
    <x v="231"/>
    <x v="4"/>
    <n v="35999"/>
    <n v="37999"/>
    <n v="5.2999999999999999E-2"/>
    <n v="4.4000000000000004"/>
    <n v="39"/>
    <n v="1"/>
    <b v="0"/>
    <b v="0"/>
    <b v="0"/>
    <b v="0"/>
    <d v="2026-06-05T00:00:00"/>
    <n v="171.60000000000002"/>
    <n v="35999"/>
    <s v="Above ₹10,000"/>
    <x v="0"/>
  </r>
  <r>
    <s v="B0DX234NWP"/>
    <x v="232"/>
    <x v="4"/>
    <n v="39995"/>
    <n v="79999"/>
    <n v="0.5"/>
    <n v="4.3"/>
    <n v="288"/>
    <n v="1"/>
    <b v="0"/>
    <b v="0"/>
    <b v="0"/>
    <b v="0"/>
    <d v="2026-06-05T00:00:00"/>
    <n v="1238.3999999999999"/>
    <n v="39995"/>
    <s v="Above ₹10,000"/>
    <x v="0"/>
  </r>
  <r>
    <s v="B0F29L7HJP"/>
    <x v="233"/>
    <x v="4"/>
    <n v="49999"/>
    <m/>
    <m/>
    <n v="4.5"/>
    <n v="242"/>
    <n v="1"/>
    <b v="0"/>
    <b v="0"/>
    <b v="0"/>
    <b v="0"/>
    <d v="2026-06-05T00:00:00"/>
    <n v="1089"/>
    <n v="49999"/>
    <s v="Above ₹10,000"/>
    <x v="3"/>
  </r>
  <r>
    <s v="B0FN7431GX"/>
    <x v="234"/>
    <x v="4"/>
    <n v="49999"/>
    <m/>
    <m/>
    <n v="4.5"/>
    <n v="511"/>
    <n v="1"/>
    <b v="0"/>
    <b v="0"/>
    <b v="0"/>
    <b v="0"/>
    <d v="2026-06-05T00:00:00"/>
    <n v="2299.5"/>
    <n v="49999"/>
    <s v="Above ₹10,000"/>
    <x v="3"/>
  </r>
  <r>
    <s v="B0DHH9PWHJ"/>
    <x v="235"/>
    <x v="4"/>
    <n v="79999"/>
    <n v="117599"/>
    <n v="0.32"/>
    <n v="3.9"/>
    <n v="22"/>
    <n v="1"/>
    <b v="0"/>
    <b v="0"/>
    <b v="0"/>
    <b v="0"/>
    <d v="2026-06-05T00:00:00"/>
    <n v="85.8"/>
    <n v="79999"/>
    <s v="Above ₹10,000"/>
    <x v="1"/>
  </r>
  <r>
    <s v="B0G823JLBV"/>
    <x v="236"/>
    <x v="4"/>
    <n v="4099"/>
    <n v="5999"/>
    <n v="0.317"/>
    <n v="2.4"/>
    <n v="29"/>
    <n v="1"/>
    <b v="0"/>
    <b v="0"/>
    <b v="0"/>
    <b v="0"/>
    <d v="2026-06-05T00:00:00"/>
    <n v="69.599999999999994"/>
    <n v="4099"/>
    <s v="₹1,000–₹5,000"/>
    <x v="2"/>
  </r>
  <r>
    <s v="B0GDTRYXYF"/>
    <x v="237"/>
    <x v="5"/>
    <n v="599"/>
    <n v="2499"/>
    <n v="0.76"/>
    <n v="4"/>
    <n v="509"/>
    <n v="1"/>
    <b v="0"/>
    <b v="0"/>
    <b v="1"/>
    <b v="0"/>
    <d v="2026-06-05T00:00:00"/>
    <n v="2036"/>
    <n v="599"/>
    <s v="₹500–₹1,000"/>
    <x v="0"/>
  </r>
  <r>
    <s v="B0FC2YFSN4"/>
    <x v="238"/>
    <x v="5"/>
    <n v="899"/>
    <n v="3990"/>
    <n v="0.77500000000000002"/>
    <n v="3.9"/>
    <n v="5247"/>
    <n v="1"/>
    <b v="0"/>
    <b v="0"/>
    <b v="0"/>
    <b v="0"/>
    <d v="2026-06-05T00:00:00"/>
    <n v="20463.3"/>
    <n v="899"/>
    <s v="₹500–₹1,000"/>
    <x v="1"/>
  </r>
  <r>
    <s v="B0GTVK1YFJ"/>
    <x v="239"/>
    <x v="5"/>
    <n v="899"/>
    <n v="4499"/>
    <n v="0.8"/>
    <m/>
    <n v="0"/>
    <n v="1"/>
    <b v="0"/>
    <b v="0"/>
    <b v="0"/>
    <b v="0"/>
    <d v="2026-06-05T00:00:00"/>
    <s v=""/>
    <n v="899"/>
    <s v="₹500–₹1,000"/>
    <x v="4"/>
  </r>
  <r>
    <s v="B0FMDL81GS"/>
    <x v="240"/>
    <x v="5"/>
    <n v="1799"/>
    <n v="1999"/>
    <n v="0.1"/>
    <n v="4.3"/>
    <n v="45386"/>
    <n v="1"/>
    <b v="0"/>
    <b v="0"/>
    <b v="0"/>
    <b v="0"/>
    <d v="2026-06-05T00:00:00"/>
    <n v="195159.8"/>
    <n v="1799"/>
    <s v="₹1,000–₹5,000"/>
    <x v="0"/>
  </r>
  <r>
    <s v="B0GY8PF9S6"/>
    <x v="241"/>
    <x v="5"/>
    <n v="349"/>
    <n v="1999"/>
    <n v="0.82499999999999996"/>
    <m/>
    <n v="0"/>
    <n v="1"/>
    <b v="0"/>
    <b v="0"/>
    <b v="0"/>
    <b v="0"/>
    <d v="2026-06-05T00:00:00"/>
    <s v=""/>
    <n v="349"/>
    <s v="Under ₹500"/>
    <x v="4"/>
  </r>
  <r>
    <s v="B0G2H4R5YB"/>
    <x v="242"/>
    <x v="5"/>
    <n v="498.88"/>
    <n v="1999"/>
    <n v="0.75"/>
    <n v="4.2"/>
    <n v="680"/>
    <n v="1"/>
    <b v="0"/>
    <b v="0"/>
    <b v="0"/>
    <b v="0"/>
    <d v="2026-06-05T00:00:00"/>
    <n v="2856"/>
    <n v="498.88"/>
    <s v="Under ₹500"/>
    <x v="0"/>
  </r>
  <r>
    <s v="B0FZD7ZJGD"/>
    <x v="243"/>
    <x v="5"/>
    <n v="599"/>
    <n v="3499"/>
    <n v="0.82899999999999996"/>
    <n v="3.7"/>
    <n v="1062"/>
    <n v="1"/>
    <b v="0"/>
    <b v="0"/>
    <b v="0"/>
    <b v="0"/>
    <d v="2026-06-05T00:00:00"/>
    <n v="3929.4"/>
    <n v="599"/>
    <s v="₹500–₹1,000"/>
    <x v="1"/>
  </r>
  <r>
    <s v="B0FHKHT717"/>
    <x v="244"/>
    <x v="5"/>
    <n v="999"/>
    <n v="1999"/>
    <n v="0.5"/>
    <n v="3.9"/>
    <n v="691"/>
    <n v="1"/>
    <b v="0"/>
    <b v="0"/>
    <b v="0"/>
    <b v="0"/>
    <d v="2026-06-05T00:00:00"/>
    <n v="2694.9"/>
    <n v="999"/>
    <s v="₹500–₹1,000"/>
    <x v="1"/>
  </r>
  <r>
    <s v="B0C3ZYFZ77"/>
    <x v="245"/>
    <x v="5"/>
    <n v="799"/>
    <n v="3490"/>
    <n v="0.77100000000000002"/>
    <n v="3.8"/>
    <n v="9699"/>
    <n v="1"/>
    <b v="0"/>
    <b v="0"/>
    <b v="0"/>
    <b v="0"/>
    <d v="2026-06-05T00:00:00"/>
    <n v="36856.199999999997"/>
    <n v="799"/>
    <s v="₹500–₹1,000"/>
    <x v="1"/>
  </r>
  <r>
    <s v="B0F8BVSK21"/>
    <x v="246"/>
    <x v="5"/>
    <n v="799"/>
    <n v="3990"/>
    <n v="0.8"/>
    <n v="3.9"/>
    <n v="89370"/>
    <n v="1"/>
    <b v="0"/>
    <b v="0"/>
    <b v="0"/>
    <b v="0"/>
    <d v="2026-06-05T00:00:00"/>
    <n v="348543"/>
    <n v="799"/>
    <s v="₹500–₹1,000"/>
    <x v="1"/>
  </r>
  <r>
    <s v="B0FBR6HGXM"/>
    <x v="247"/>
    <x v="5"/>
    <n v="1329"/>
    <n v="2499"/>
    <n v="0.46800000000000003"/>
    <n v="4.0999999999999996"/>
    <n v="33124"/>
    <n v="1"/>
    <b v="0"/>
    <b v="0"/>
    <b v="0"/>
    <b v="0"/>
    <d v="2026-06-05T00:00:00"/>
    <n v="135808.4"/>
    <n v="1329"/>
    <s v="₹1,000–₹5,000"/>
    <x v="0"/>
  </r>
  <r>
    <s v="B0G6M5B9KC"/>
    <x v="248"/>
    <x v="5"/>
    <n v="699"/>
    <n v="1999"/>
    <n v="0.65"/>
    <n v="2"/>
    <n v="2"/>
    <n v="1"/>
    <b v="0"/>
    <b v="0"/>
    <b v="0"/>
    <b v="0"/>
    <d v="2026-06-05T00:00:00"/>
    <n v="4"/>
    <n v="699"/>
    <s v="₹500–₹1,000"/>
    <x v="2"/>
  </r>
  <r>
    <s v="B0FCMRVJKH"/>
    <x v="249"/>
    <x v="5"/>
    <n v="6099"/>
    <n v="6499"/>
    <n v="6.2E-2"/>
    <n v="4.3"/>
    <n v="2468"/>
    <n v="1"/>
    <b v="0"/>
    <b v="0"/>
    <b v="0"/>
    <b v="0"/>
    <d v="2026-06-05T00:00:00"/>
    <n v="10612.4"/>
    <n v="6099"/>
    <s v="₹5,000–₹10,000"/>
    <x v="0"/>
  </r>
  <r>
    <s v="B0DXPNVSSB"/>
    <x v="250"/>
    <x v="5"/>
    <n v="795"/>
    <n v="3990"/>
    <n v="0.80100000000000005"/>
    <n v="3.8"/>
    <n v="926"/>
    <n v="5"/>
    <b v="0"/>
    <b v="0"/>
    <b v="0"/>
    <b v="0"/>
    <d v="2026-06-05T00:00:00"/>
    <n v="3518.7999999999997"/>
    <n v="795"/>
    <s v="₹500–₹1,000"/>
    <x v="1"/>
  </r>
  <r>
    <s v="B0DFPKVGVC"/>
    <x v="251"/>
    <x v="5"/>
    <n v="2599"/>
    <n v="2799"/>
    <n v="7.0999999999999994E-2"/>
    <n v="4.3"/>
    <n v="21134"/>
    <n v="1"/>
    <b v="0"/>
    <b v="0"/>
    <b v="0"/>
    <b v="0"/>
    <d v="2026-06-05T00:00:00"/>
    <n v="90876.2"/>
    <n v="2599"/>
    <s v="₹1,000–₹5,000"/>
    <x v="0"/>
  </r>
  <r>
    <s v="B0DZXTVL6V"/>
    <x v="252"/>
    <x v="5"/>
    <n v="799"/>
    <n v="3990"/>
    <n v="0.8"/>
    <n v="3.7"/>
    <n v="5979"/>
    <n v="1"/>
    <b v="0"/>
    <b v="0"/>
    <b v="0"/>
    <b v="0"/>
    <d v="2026-06-05T00:00:00"/>
    <n v="22122.3"/>
    <n v="799"/>
    <s v="₹500–₹1,000"/>
    <x v="1"/>
  </r>
  <r>
    <s v="B0DBGNDTY2"/>
    <x v="253"/>
    <x v="5"/>
    <n v="2199"/>
    <n v="3999"/>
    <n v="0.45"/>
    <n v="4.2"/>
    <n v="8652"/>
    <n v="1"/>
    <b v="0"/>
    <b v="0"/>
    <b v="0"/>
    <b v="0"/>
    <d v="2026-06-05T00:00:00"/>
    <n v="36338.400000000001"/>
    <n v="2199"/>
    <s v="₹1,000–₹5,000"/>
    <x v="0"/>
  </r>
  <r>
    <s v="B0FDGVNSLH"/>
    <x v="254"/>
    <x v="5"/>
    <n v="4399"/>
    <n v="9999"/>
    <n v="0.56000000000000005"/>
    <n v="4"/>
    <n v="2445"/>
    <n v="1"/>
    <b v="0"/>
    <b v="0"/>
    <b v="0"/>
    <b v="0"/>
    <d v="2026-06-05T00:00:00"/>
    <n v="9780"/>
    <n v="4399"/>
    <s v="₹1,000–₹5,000"/>
    <x v="0"/>
  </r>
  <r>
    <s v="B0BQN3NW8C"/>
    <x v="255"/>
    <x v="5"/>
    <n v="999"/>
    <n v="4999"/>
    <n v="0.8"/>
    <n v="3.9"/>
    <n v="36324"/>
    <n v="1"/>
    <b v="0"/>
    <b v="0"/>
    <b v="0"/>
    <b v="0"/>
    <d v="2026-06-05T00:00:00"/>
    <n v="141663.6"/>
    <n v="999"/>
    <s v="₹500–₹1,000"/>
    <x v="1"/>
  </r>
  <r>
    <s v="B0GMJLFCR7"/>
    <x v="256"/>
    <x v="5"/>
    <n v="22999"/>
    <n v="29999"/>
    <n v="0.23300000000000001"/>
    <n v="4.5999999999999996"/>
    <n v="174"/>
    <n v="1"/>
    <b v="0"/>
    <b v="0"/>
    <b v="0"/>
    <b v="0"/>
    <d v="2026-06-05T00:00:00"/>
    <n v="800.4"/>
    <n v="22999"/>
    <s v="Above ₹10,000"/>
    <x v="3"/>
  </r>
  <r>
    <s v="B0GDR29F53"/>
    <x v="257"/>
    <x v="5"/>
    <n v="322.54000000000002"/>
    <n v="799"/>
    <n v="0.59599999999999997"/>
    <n v="4.0999999999999996"/>
    <n v="9487"/>
    <n v="1"/>
    <b v="0"/>
    <b v="0"/>
    <b v="0"/>
    <b v="0"/>
    <d v="2026-06-05T00:00:00"/>
    <n v="38896.699999999997"/>
    <n v="322.54000000000002"/>
    <s v="Under ₹500"/>
    <x v="0"/>
  </r>
  <r>
    <s v="B0GDQ28DY5"/>
    <x v="258"/>
    <x v="5"/>
    <n v="3599"/>
    <n v="5299"/>
    <n v="0.32100000000000001"/>
    <n v="4.2"/>
    <n v="794"/>
    <n v="1"/>
    <b v="0"/>
    <b v="0"/>
    <b v="0"/>
    <b v="0"/>
    <d v="2026-06-05T00:00:00"/>
    <n v="3334.8"/>
    <n v="3599"/>
    <s v="₹1,000–₹5,000"/>
    <x v="0"/>
  </r>
  <r>
    <s v="B0DS2Y94LS"/>
    <x v="259"/>
    <x v="5"/>
    <n v="1199"/>
    <n v="3999"/>
    <n v="0.7"/>
    <n v="3.6"/>
    <n v="7217"/>
    <n v="1"/>
    <b v="0"/>
    <b v="0"/>
    <b v="0"/>
    <b v="0"/>
    <d v="2026-06-05T00:00:00"/>
    <n v="25981.200000000001"/>
    <n v="1199"/>
    <s v="₹1,000–₹5,000"/>
    <x v="1"/>
  </r>
  <r>
    <s v="B0GQTNXDYM"/>
    <x v="260"/>
    <x v="5"/>
    <n v="3999"/>
    <m/>
    <m/>
    <n v="4.3"/>
    <n v="655"/>
    <n v="1"/>
    <b v="0"/>
    <b v="0"/>
    <b v="0"/>
    <b v="0"/>
    <d v="2026-06-05T00:00:00"/>
    <n v="2816.5"/>
    <n v="3999"/>
    <s v="₹1,000–₹5,000"/>
    <x v="0"/>
  </r>
  <r>
    <s v="B0DCVLM12X"/>
    <x v="261"/>
    <x v="5"/>
    <n v="929"/>
    <n v="2998"/>
    <n v="0.69"/>
    <n v="4.0999999999999996"/>
    <n v="356"/>
    <n v="1"/>
    <b v="0"/>
    <b v="0"/>
    <b v="0"/>
    <b v="0"/>
    <d v="2026-06-05T00:00:00"/>
    <n v="1459.6"/>
    <n v="929"/>
    <s v="₹500–₹1,000"/>
    <x v="0"/>
  </r>
  <r>
    <s v="B09Y5N4M7Z"/>
    <x v="262"/>
    <x v="5"/>
    <n v="1099"/>
    <n v="3499"/>
    <n v="0.68600000000000005"/>
    <n v="3.8"/>
    <n v="30056"/>
    <n v="1"/>
    <b v="0"/>
    <b v="0"/>
    <b v="0"/>
    <b v="0"/>
    <d v="2026-06-05T00:00:00"/>
    <n v="114212.79999999999"/>
    <n v="1099"/>
    <s v="₹1,000–₹5,000"/>
    <x v="1"/>
  </r>
  <r>
    <s v="B0F62JBFBS"/>
    <x v="263"/>
    <x v="5"/>
    <n v="597"/>
    <n v="1999"/>
    <n v="0.70099999999999996"/>
    <n v="3.9"/>
    <n v="3961"/>
    <n v="1"/>
    <b v="0"/>
    <b v="0"/>
    <b v="0"/>
    <b v="0"/>
    <d v="2026-06-05T00:00:00"/>
    <n v="15447.9"/>
    <n v="597"/>
    <s v="₹500–₹1,000"/>
    <x v="1"/>
  </r>
  <r>
    <s v="B0DRD7G7F5"/>
    <x v="264"/>
    <x v="5"/>
    <n v="2999"/>
    <n v="4999"/>
    <n v="0.4"/>
    <n v="4.3"/>
    <n v="3759"/>
    <n v="1"/>
    <b v="0"/>
    <b v="0"/>
    <b v="0"/>
    <b v="0"/>
    <d v="2026-06-05T00:00:00"/>
    <n v="16163.699999999999"/>
    <n v="2999"/>
    <s v="₹1,000–₹5,000"/>
    <x v="0"/>
  </r>
  <r>
    <s v="B0DHL63KWK"/>
    <x v="265"/>
    <x v="5"/>
    <n v="2499"/>
    <n v="6999"/>
    <n v="0.64300000000000002"/>
    <n v="3.5"/>
    <n v="47730"/>
    <n v="1"/>
    <b v="0"/>
    <b v="0"/>
    <b v="0"/>
    <b v="0"/>
    <d v="2026-06-05T00:00:00"/>
    <n v="167055"/>
    <n v="2499"/>
    <s v="₹1,000–₹5,000"/>
    <x v="1"/>
  </r>
  <r>
    <s v="B0FSDYHR92"/>
    <x v="266"/>
    <x v="5"/>
    <n v="479"/>
    <n v="2999"/>
    <n v="0.84"/>
    <n v="3.5"/>
    <n v="498"/>
    <n v="1"/>
    <b v="0"/>
    <b v="0"/>
    <b v="0"/>
    <b v="0"/>
    <d v="2026-06-05T00:00:00"/>
    <n v="1743"/>
    <n v="479"/>
    <s v="Under ₹500"/>
    <x v="1"/>
  </r>
  <r>
    <s v="B0FTFMNYBV"/>
    <x v="267"/>
    <x v="5"/>
    <n v="999"/>
    <n v="3499"/>
    <n v="0.71399999999999997"/>
    <n v="4.2"/>
    <n v="948"/>
    <n v="1"/>
    <b v="0"/>
    <b v="0"/>
    <b v="0"/>
    <b v="0"/>
    <d v="2026-06-05T00:00:00"/>
    <n v="3981.6000000000004"/>
    <n v="999"/>
    <s v="₹500–₹1,000"/>
    <x v="0"/>
  </r>
  <r>
    <s v="B0DH2158PJ"/>
    <x v="268"/>
    <x v="5"/>
    <n v="209"/>
    <n v="499"/>
    <n v="0.58099999999999996"/>
    <n v="3.2"/>
    <n v="669"/>
    <n v="1"/>
    <b v="0"/>
    <b v="0"/>
    <b v="0"/>
    <b v="0"/>
    <d v="2026-06-05T00:00:00"/>
    <n v="2140.8000000000002"/>
    <n v="209"/>
    <s v="Under ₹500"/>
    <x v="1"/>
  </r>
  <r>
    <s v="B0GMQLR7JL"/>
    <x v="269"/>
    <x v="5"/>
    <n v="690"/>
    <n v="1999"/>
    <n v="0.65500000000000003"/>
    <n v="1.7"/>
    <n v="10"/>
    <n v="1"/>
    <b v="0"/>
    <b v="0"/>
    <b v="0"/>
    <b v="0"/>
    <d v="2026-06-05T00:00:00"/>
    <n v="17"/>
    <n v="690"/>
    <s v="₹500–₹1,000"/>
    <x v="5"/>
  </r>
  <r>
    <s v="B0CFYJ8HRS"/>
    <x v="270"/>
    <x v="5"/>
    <n v="2999"/>
    <n v="6999"/>
    <n v="0.57199999999999995"/>
    <n v="3.3"/>
    <n v="3571"/>
    <n v="3"/>
    <b v="0"/>
    <b v="0"/>
    <b v="0"/>
    <b v="0"/>
    <d v="2026-06-05T00:00:00"/>
    <n v="11784.3"/>
    <n v="2999"/>
    <s v="₹1,000–₹5,000"/>
    <x v="1"/>
  </r>
  <r>
    <s v="B0GQTSHLLR"/>
    <x v="271"/>
    <x v="5"/>
    <n v="3999"/>
    <m/>
    <m/>
    <n v="4.3"/>
    <n v="655"/>
    <n v="1"/>
    <b v="0"/>
    <b v="0"/>
    <b v="0"/>
    <b v="0"/>
    <d v="2026-06-05T00:00:00"/>
    <n v="2816.5"/>
    <n v="3999"/>
    <s v="₹1,000–₹5,000"/>
    <x v="0"/>
  </r>
  <r>
    <s v="B0D4VN3S8T"/>
    <x v="272"/>
    <x v="5"/>
    <n v="1799"/>
    <n v="7999"/>
    <n v="0.77500000000000002"/>
    <n v="4"/>
    <n v="6615"/>
    <n v="1"/>
    <b v="0"/>
    <b v="0"/>
    <b v="0"/>
    <b v="0"/>
    <d v="2026-06-05T00:00:00"/>
    <n v="26460"/>
    <n v="1799"/>
    <s v="₹1,000–₹5,000"/>
    <x v="0"/>
  </r>
  <r>
    <s v="B0D3R1LVR3"/>
    <x v="273"/>
    <x v="5"/>
    <n v="899"/>
    <n v="2499"/>
    <n v="0.64"/>
    <n v="3.9"/>
    <n v="14890"/>
    <n v="1"/>
    <b v="0"/>
    <b v="0"/>
    <b v="0"/>
    <b v="0"/>
    <d v="2026-06-05T00:00:00"/>
    <n v="58071"/>
    <n v="899"/>
    <s v="₹500–₹1,000"/>
    <x v="1"/>
  </r>
  <r>
    <s v="B0FCLPQG26"/>
    <x v="274"/>
    <x v="5"/>
    <n v="6990"/>
    <n v="12990"/>
    <n v="0.46200000000000002"/>
    <n v="3.6"/>
    <n v="1083"/>
    <n v="1"/>
    <b v="0"/>
    <b v="0"/>
    <b v="0"/>
    <b v="0"/>
    <d v="2026-06-05T00:00:00"/>
    <n v="3898.8"/>
    <n v="6990"/>
    <s v="₹5,000–₹10,000"/>
    <x v="1"/>
  </r>
  <r>
    <s v="B0GZSJ3XKW"/>
    <x v="275"/>
    <x v="5"/>
    <n v="399"/>
    <n v="1999"/>
    <n v="0.8"/>
    <m/>
    <n v="0"/>
    <n v="1"/>
    <b v="0"/>
    <b v="0"/>
    <b v="0"/>
    <b v="0"/>
    <d v="2026-06-05T00:00:00"/>
    <s v=""/>
    <n v="399"/>
    <s v="Under ₹500"/>
    <x v="4"/>
  </r>
  <r>
    <s v="B0DBHBZZTN"/>
    <x v="276"/>
    <x v="5"/>
    <n v="3299"/>
    <n v="17990"/>
    <n v="0.81699999999999995"/>
    <n v="3.8"/>
    <n v="1368"/>
    <n v="1"/>
    <b v="0"/>
    <b v="0"/>
    <b v="0"/>
    <b v="0"/>
    <d v="2026-06-05T00:00:00"/>
    <n v="5198.3999999999996"/>
    <n v="3299"/>
    <s v="₹1,000–₹5,000"/>
    <x v="1"/>
  </r>
  <r>
    <s v="B0GCNNWM13"/>
    <x v="277"/>
    <x v="5"/>
    <n v="899"/>
    <n v="2999"/>
    <n v="0.7"/>
    <n v="3.9"/>
    <n v="3792"/>
    <n v="1"/>
    <b v="0"/>
    <b v="0"/>
    <b v="0"/>
    <b v="0"/>
    <d v="2026-06-05T00:00:00"/>
    <n v="14788.8"/>
    <n v="899"/>
    <s v="₹500–₹1,000"/>
    <x v="1"/>
  </r>
  <r>
    <s v="B0GF7M1X2N"/>
    <x v="278"/>
    <x v="5"/>
    <n v="1499"/>
    <n v="5499"/>
    <n v="0.72699999999999998"/>
    <n v="4"/>
    <n v="971"/>
    <n v="1"/>
    <b v="0"/>
    <b v="0"/>
    <b v="0"/>
    <b v="0"/>
    <d v="2026-06-05T00:00:00"/>
    <n v="3884"/>
    <n v="1499"/>
    <s v="₹1,000–₹5,000"/>
    <x v="0"/>
  </r>
  <r>
    <s v="B0FZ9YLWP1"/>
    <x v="279"/>
    <x v="5"/>
    <n v="1499"/>
    <n v="3999"/>
    <n v="0.625"/>
    <n v="4"/>
    <n v="127"/>
    <n v="1"/>
    <b v="0"/>
    <b v="0"/>
    <b v="0"/>
    <b v="0"/>
    <d v="2026-06-05T00:00:00"/>
    <n v="508"/>
    <n v="1499"/>
    <s v="₹1,000–₹5,000"/>
    <x v="0"/>
  </r>
  <r>
    <s v="B0G2S1MZRX"/>
    <x v="280"/>
    <x v="5"/>
    <n v="2599"/>
    <n v="9990"/>
    <n v="0.74"/>
    <n v="3.7"/>
    <n v="543"/>
    <n v="1"/>
    <b v="0"/>
    <b v="0"/>
    <b v="0"/>
    <b v="0"/>
    <d v="2026-06-05T00:00:00"/>
    <n v="2009.1000000000001"/>
    <n v="2599"/>
    <s v="₹1,000–₹5,000"/>
    <x v="1"/>
  </r>
  <r>
    <s v="B0CQJZD55X"/>
    <x v="281"/>
    <x v="5"/>
    <n v="999"/>
    <n v="3499"/>
    <n v="0.71399999999999997"/>
    <n v="3.8"/>
    <n v="15622"/>
    <n v="1"/>
    <b v="0"/>
    <b v="0"/>
    <b v="0"/>
    <b v="0"/>
    <d v="2026-06-05T00:00:00"/>
    <n v="59363.6"/>
    <n v="999"/>
    <s v="₹500–₹1,000"/>
    <x v="1"/>
  </r>
  <r>
    <s v="B0D9K1TSMP"/>
    <x v="282"/>
    <x v="5"/>
    <n v="209"/>
    <n v="499"/>
    <n v="0.58099999999999996"/>
    <n v="4.0999999999999996"/>
    <n v="968"/>
    <n v="1"/>
    <b v="0"/>
    <b v="0"/>
    <b v="0"/>
    <b v="0"/>
    <d v="2026-06-05T00:00:00"/>
    <n v="3968.7999999999997"/>
    <n v="209"/>
    <s v="Under ₹500"/>
    <x v="0"/>
  </r>
  <r>
    <s v="B0DN1RPL19"/>
    <x v="283"/>
    <x v="5"/>
    <n v="1799"/>
    <n v="5999"/>
    <n v="0.7"/>
    <n v="4"/>
    <n v="13588"/>
    <n v="1"/>
    <b v="0"/>
    <b v="0"/>
    <b v="0"/>
    <b v="0"/>
    <d v="2026-06-05T00:00:00"/>
    <n v="54352"/>
    <n v="1799"/>
    <s v="₹1,000–₹5,000"/>
    <x v="0"/>
  </r>
  <r>
    <s v="B0FCM61QWL"/>
    <x v="284"/>
    <x v="6"/>
    <n v="8999"/>
    <n v="18999"/>
    <n v="0.52600000000000002"/>
    <n v="3.8"/>
    <n v="3015"/>
    <n v="1"/>
    <b v="0"/>
    <b v="0"/>
    <b v="0"/>
    <b v="0"/>
    <d v="2026-06-05T00:00:00"/>
    <n v="11457"/>
    <n v="8999"/>
    <s v="₹5,000–₹10,000"/>
    <x v="1"/>
  </r>
  <r>
    <s v="B0GX52LD7V"/>
    <x v="285"/>
    <x v="6"/>
    <n v="14999"/>
    <n v="29999"/>
    <n v="0.5"/>
    <n v="4.2"/>
    <n v="15713"/>
    <n v="1"/>
    <b v="0"/>
    <b v="0"/>
    <b v="0"/>
    <b v="0"/>
    <d v="2026-06-05T00:00:00"/>
    <n v="65994.600000000006"/>
    <n v="14999"/>
    <s v="Above ₹10,000"/>
    <x v="0"/>
  </r>
  <r>
    <s v="B0F3JM1YP5"/>
    <x v="286"/>
    <x v="6"/>
    <n v="12999"/>
    <m/>
    <m/>
    <n v="4.2"/>
    <n v="914"/>
    <n v="1"/>
    <b v="0"/>
    <b v="0"/>
    <b v="0"/>
    <b v="0"/>
    <d v="2026-06-05T00:00:00"/>
    <n v="3838.8"/>
    <n v="12999"/>
    <s v="Above ₹10,000"/>
    <x v="0"/>
  </r>
  <r>
    <s v="B0F84DKX8K"/>
    <x v="287"/>
    <x v="6"/>
    <n v="23990"/>
    <n v="27500"/>
    <n v="0.128"/>
    <n v="4.0999999999999996"/>
    <n v="5926"/>
    <n v="1"/>
    <b v="0"/>
    <b v="0"/>
    <b v="1"/>
    <b v="0"/>
    <d v="2026-06-05T00:00:00"/>
    <n v="24296.6"/>
    <n v="23990"/>
    <s v="Above ₹10,000"/>
    <x v="0"/>
  </r>
  <r>
    <s v="B0GJG3GKYD"/>
    <x v="288"/>
    <x v="6"/>
    <n v="5490"/>
    <n v="20990"/>
    <n v="0.73799999999999999"/>
    <n v="4.0999999999999996"/>
    <n v="157"/>
    <n v="1"/>
    <b v="0"/>
    <b v="0"/>
    <b v="0"/>
    <b v="0"/>
    <d v="2026-06-05T00:00:00"/>
    <n v="643.69999999999993"/>
    <n v="5490"/>
    <s v="₹5,000–₹10,000"/>
    <x v="0"/>
  </r>
  <r>
    <s v="B0F222LP9Y"/>
    <x v="289"/>
    <x v="6"/>
    <n v="13999"/>
    <n v="25999"/>
    <n v="0.46200000000000002"/>
    <n v="3.8"/>
    <n v="3020"/>
    <n v="1"/>
    <b v="0"/>
    <b v="0"/>
    <b v="0"/>
    <b v="0"/>
    <d v="2026-06-05T00:00:00"/>
    <n v="11476"/>
    <n v="13999"/>
    <s v="Above ₹10,000"/>
    <x v="1"/>
  </r>
  <r>
    <s v="B0DZHRYFG7"/>
    <x v="290"/>
    <x v="6"/>
    <n v="20990"/>
    <n v="35990"/>
    <n v="0.41699999999999998"/>
    <n v="4"/>
    <n v="2226"/>
    <n v="1"/>
    <b v="0"/>
    <b v="0"/>
    <b v="0"/>
    <b v="0"/>
    <d v="2026-06-05T00:00:00"/>
    <n v="8904"/>
    <n v="20990"/>
    <s v="Above ₹10,000"/>
    <x v="0"/>
  </r>
  <r>
    <s v="B0DBZGXXP7"/>
    <x v="291"/>
    <x v="6"/>
    <n v="25299"/>
    <n v="98990"/>
    <n v="0.74399999999999999"/>
    <n v="3.6"/>
    <n v="109"/>
    <n v="1"/>
    <b v="0"/>
    <b v="0"/>
    <b v="0"/>
    <b v="0"/>
    <d v="2026-06-05T00:00:00"/>
    <n v="392.40000000000003"/>
    <n v="25299"/>
    <s v="Above ₹10,000"/>
    <x v="1"/>
  </r>
  <r>
    <s v="B0FBW5S6H2"/>
    <x v="292"/>
    <x v="6"/>
    <n v="22999"/>
    <n v="34999"/>
    <n v="0.34300000000000003"/>
    <n v="4.2"/>
    <n v="739"/>
    <n v="1"/>
    <b v="0"/>
    <b v="0"/>
    <b v="0"/>
    <b v="0"/>
    <d v="2026-06-05T00:00:00"/>
    <n v="3103.8"/>
    <n v="22999"/>
    <s v="Above ₹10,000"/>
    <x v="0"/>
  </r>
  <r>
    <s v="B07MNNH484"/>
    <x v="293"/>
    <x v="6"/>
    <n v="8499"/>
    <n v="16999"/>
    <n v="0.5"/>
    <n v="3.6"/>
    <n v="6823"/>
    <n v="1"/>
    <b v="0"/>
    <b v="0"/>
    <b v="0"/>
    <b v="0"/>
    <d v="2026-06-05T00:00:00"/>
    <n v="24562.799999999999"/>
    <n v="8499"/>
    <s v="₹5,000–₹10,000"/>
    <x v="1"/>
  </r>
  <r>
    <s v="B0DFYBF423"/>
    <x v="294"/>
    <x v="6"/>
    <n v="10999"/>
    <n v="22999"/>
    <n v="0.52200000000000002"/>
    <n v="3.9"/>
    <n v="1431"/>
    <n v="1"/>
    <b v="0"/>
    <b v="0"/>
    <b v="0"/>
    <b v="0"/>
    <d v="2026-06-05T00:00:00"/>
    <n v="5580.9"/>
    <n v="10999"/>
    <s v="Above ₹10,000"/>
    <x v="1"/>
  </r>
  <r>
    <s v="B0FDQRTXBC"/>
    <x v="295"/>
    <x v="6"/>
    <n v="55999"/>
    <n v="64990"/>
    <n v="0.13800000000000001"/>
    <n v="4.2"/>
    <n v="1429"/>
    <n v="1"/>
    <b v="0"/>
    <b v="0"/>
    <b v="0"/>
    <b v="0"/>
    <d v="2026-06-05T00:00:00"/>
    <n v="6001.8"/>
    <n v="55999"/>
    <s v="Above ₹10,000"/>
    <x v="0"/>
  </r>
  <r>
    <s v="B0G2CG8XQX"/>
    <x v="296"/>
    <x v="6"/>
    <n v="45999"/>
    <n v="79999"/>
    <n v="0.42499999999999999"/>
    <n v="4.3"/>
    <n v="76"/>
    <n v="1"/>
    <b v="0"/>
    <b v="0"/>
    <b v="0"/>
    <b v="0"/>
    <d v="2026-06-05T00:00:00"/>
    <n v="326.8"/>
    <n v="45999"/>
    <s v="Above ₹10,000"/>
    <x v="0"/>
  </r>
  <r>
    <s v="B0F6ZCRGG5"/>
    <x v="297"/>
    <x v="6"/>
    <n v="21999"/>
    <n v="30999"/>
    <n v="0.28999999999999998"/>
    <n v="4.0999999999999996"/>
    <n v="426"/>
    <n v="1"/>
    <b v="0"/>
    <b v="0"/>
    <b v="0"/>
    <b v="0"/>
    <d v="2026-06-05T00:00:00"/>
    <n v="1746.6"/>
    <n v="21999"/>
    <s v="Above ₹10,000"/>
    <x v="0"/>
  </r>
  <r>
    <s v="B0GJGCNL3B"/>
    <x v="298"/>
    <x v="6"/>
    <m/>
    <m/>
    <m/>
    <n v="4.4000000000000004"/>
    <n v="10"/>
    <n v="1"/>
    <b v="0"/>
    <b v="0"/>
    <b v="0"/>
    <b v="0"/>
    <d v="2026-06-05T00:00:00"/>
    <n v="44"/>
    <m/>
    <s v=" "/>
    <x v="0"/>
  </r>
  <r>
    <s v="B0GQC14DKQ"/>
    <x v="299"/>
    <x v="6"/>
    <n v="24499"/>
    <n v="41490"/>
    <n v="0.41"/>
    <n v="4.5"/>
    <n v="13"/>
    <n v="1"/>
    <b v="0"/>
    <b v="0"/>
    <b v="0"/>
    <b v="0"/>
    <d v="2026-06-05T00:00:00"/>
    <n v="58.5"/>
    <n v="24499"/>
    <s v="Above ₹10,000"/>
    <x v="3"/>
  </r>
  <r>
    <s v="B0F2J6QCJB"/>
    <x v="300"/>
    <x v="6"/>
    <n v="66990"/>
    <n v="199990"/>
    <n v="0.66500000000000004"/>
    <n v="4.0999999999999996"/>
    <n v="892"/>
    <n v="1"/>
    <b v="0"/>
    <b v="0"/>
    <b v="0"/>
    <b v="0"/>
    <d v="2026-06-05T00:00:00"/>
    <n v="3657.2"/>
    <n v="66990"/>
    <s v="Above ₹10,000"/>
    <x v="0"/>
  </r>
  <r>
    <s v="B0GK9D99SG"/>
    <x v="301"/>
    <x v="6"/>
    <n v="25999"/>
    <n v="99999"/>
    <n v="0.74"/>
    <n v="4.4000000000000004"/>
    <n v="331"/>
    <n v="1"/>
    <b v="0"/>
    <b v="0"/>
    <b v="0"/>
    <b v="0"/>
    <d v="2026-06-05T00:00:00"/>
    <n v="1456.4"/>
    <n v="25999"/>
    <s v="Above ₹10,000"/>
    <x v="0"/>
  </r>
  <r>
    <s v="B0DR2Q2R44"/>
    <x v="302"/>
    <x v="6"/>
    <n v="9999"/>
    <n v="22999"/>
    <n v="0.56499999999999995"/>
    <n v="4.0999999999999996"/>
    <n v="1082"/>
    <n v="1"/>
    <b v="0"/>
    <b v="0"/>
    <b v="0"/>
    <b v="0"/>
    <d v="2026-06-05T00:00:00"/>
    <n v="4436.2"/>
    <n v="9999"/>
    <s v="₹5,000–₹10,000"/>
    <x v="0"/>
  </r>
  <r>
    <s v="B0F43CHDSN"/>
    <x v="303"/>
    <x v="6"/>
    <n v="43990"/>
    <n v="75500"/>
    <n v="0.41699999999999998"/>
    <n v="4"/>
    <n v="1272"/>
    <n v="1"/>
    <b v="0"/>
    <b v="0"/>
    <b v="0"/>
    <b v="0"/>
    <d v="2026-06-05T00:00:00"/>
    <n v="5088"/>
    <n v="43990"/>
    <s v="Above ₹10,000"/>
    <x v="0"/>
  </r>
  <r>
    <s v="B0F437CWLS"/>
    <x v="304"/>
    <x v="6"/>
    <n v="38990"/>
    <n v="50600"/>
    <n v="0.22900000000000001"/>
    <n v="4"/>
    <n v="636"/>
    <n v="1"/>
    <b v="0"/>
    <b v="0"/>
    <b v="0"/>
    <b v="0"/>
    <d v="2026-06-05T00:00:00"/>
    <n v="2544"/>
    <n v="38990"/>
    <s v="Above ₹10,000"/>
    <x v="0"/>
  </r>
  <r>
    <s v="B0CVV489CY"/>
    <x v="305"/>
    <x v="6"/>
    <n v="9999"/>
    <n v="55290"/>
    <n v="0.81899999999999995"/>
    <n v="3.3"/>
    <n v="51"/>
    <n v="1"/>
    <b v="0"/>
    <b v="0"/>
    <b v="0"/>
    <b v="0"/>
    <d v="2026-06-05T00:00:00"/>
    <n v="168.29999999999998"/>
    <n v="9999"/>
    <s v="₹5,000–₹10,000"/>
    <x v="1"/>
  </r>
  <r>
    <s v="B0G6LTHMLF"/>
    <x v="306"/>
    <x v="6"/>
    <n v="45999"/>
    <n v="84999"/>
    <n v="0.45900000000000002"/>
    <n v="4.4000000000000004"/>
    <n v="164"/>
    <n v="1"/>
    <b v="0"/>
    <b v="0"/>
    <b v="0"/>
    <b v="0"/>
    <d v="2026-06-05T00:00:00"/>
    <n v="721.6"/>
    <n v="45999"/>
    <s v="Above ₹10,000"/>
    <x v="0"/>
  </r>
  <r>
    <s v="B0FDW7819M"/>
    <x v="307"/>
    <x v="6"/>
    <n v="24999"/>
    <n v="63999"/>
    <n v="0.60899999999999999"/>
    <n v="3.3"/>
    <n v="208"/>
    <n v="1"/>
    <b v="0"/>
    <b v="0"/>
    <b v="0"/>
    <b v="0"/>
    <d v="2026-06-05T00:00:00"/>
    <n v="686.4"/>
    <n v="24999"/>
    <s v="Above ₹10,000"/>
    <x v="1"/>
  </r>
  <r>
    <s v="B0H116Z7DT"/>
    <x v="308"/>
    <x v="6"/>
    <n v="6999"/>
    <n v="12999"/>
    <n v="0.46200000000000002"/>
    <n v="4"/>
    <n v="3"/>
    <n v="1"/>
    <b v="0"/>
    <b v="0"/>
    <b v="0"/>
    <b v="0"/>
    <d v="2026-06-05T00:00:00"/>
    <n v="12"/>
    <n v="6999"/>
    <s v="₹5,000–₹10,000"/>
    <x v="0"/>
  </r>
  <r>
    <s v="B0FBS91DQF"/>
    <x v="309"/>
    <x v="6"/>
    <n v="49990"/>
    <n v="80000"/>
    <n v="0.375"/>
    <n v="4.3"/>
    <n v="1791"/>
    <n v="1"/>
    <b v="0"/>
    <b v="0"/>
    <b v="0"/>
    <b v="0"/>
    <d v="2026-06-05T00:00:00"/>
    <n v="7701.2999999999993"/>
    <n v="49990"/>
    <s v="Above ₹10,000"/>
    <x v="0"/>
  </r>
  <r>
    <s v="B0F38M36TN"/>
    <x v="310"/>
    <x v="6"/>
    <n v="42990"/>
    <n v="109990"/>
    <n v="0.60899999999999999"/>
    <n v="4.0999999999999996"/>
    <n v="1188"/>
    <n v="1"/>
    <b v="0"/>
    <b v="0"/>
    <b v="0"/>
    <b v="0"/>
    <d v="2026-06-05T00:00:00"/>
    <n v="4870.7999999999993"/>
    <n v="42990"/>
    <s v="Above ₹10,000"/>
    <x v="0"/>
  </r>
  <r>
    <s v="B0F6YVKDR2"/>
    <x v="311"/>
    <x v="6"/>
    <n v="36999"/>
    <n v="48999"/>
    <n v="0.245"/>
    <n v="4.0999999999999996"/>
    <n v="4466"/>
    <n v="1"/>
    <b v="0"/>
    <b v="0"/>
    <b v="0"/>
    <b v="0"/>
    <d v="2026-06-05T00:00:00"/>
    <n v="18310.599999999999"/>
    <n v="36999"/>
    <s v="Above ₹10,000"/>
    <x v="0"/>
  </r>
  <r>
    <s v="B0DH8984MM"/>
    <x v="312"/>
    <x v="6"/>
    <n v="49990"/>
    <n v="65000"/>
    <n v="0.23100000000000001"/>
    <n v="4.4000000000000004"/>
    <n v="607"/>
    <n v="1"/>
    <b v="0"/>
    <b v="0"/>
    <b v="0"/>
    <b v="0"/>
    <d v="2026-06-05T00:00:00"/>
    <n v="2670.8"/>
    <n v="49990"/>
    <s v="Above ₹10,000"/>
    <x v="0"/>
  </r>
  <r>
    <s v="B0F3HZP9XR"/>
    <x v="313"/>
    <x v="6"/>
    <n v="99990"/>
    <n v="299990"/>
    <n v="0.66700000000000004"/>
    <n v="4.0999999999999996"/>
    <n v="1318"/>
    <n v="1"/>
    <b v="0"/>
    <b v="0"/>
    <b v="0"/>
    <b v="0"/>
    <d v="2026-06-05T00:00:00"/>
    <n v="5403.7999999999993"/>
    <n v="99990"/>
    <s v="Above ₹10,000"/>
    <x v="0"/>
  </r>
  <r>
    <s v="B0C6F23XP1"/>
    <x v="314"/>
    <x v="6"/>
    <n v="499999"/>
    <m/>
    <m/>
    <n v="3.6"/>
    <n v="18"/>
    <n v="1"/>
    <b v="0"/>
    <b v="0"/>
    <b v="0"/>
    <b v="0"/>
    <d v="2026-06-05T00:00:00"/>
    <n v="64.8"/>
    <n v="499999"/>
    <s v="Above ₹10,000"/>
    <x v="1"/>
  </r>
  <r>
    <s v="B0DZHMX6D3"/>
    <x v="315"/>
    <x v="6"/>
    <n v="14990"/>
    <n v="20490"/>
    <n v="0.26800000000000002"/>
    <n v="4.2"/>
    <n v="360"/>
    <n v="1"/>
    <b v="0"/>
    <b v="0"/>
    <b v="0"/>
    <b v="0"/>
    <d v="2026-06-05T00:00:00"/>
    <n v="1512"/>
    <n v="14990"/>
    <s v="Above ₹10,000"/>
    <x v="0"/>
  </r>
  <r>
    <s v="B0GTL292WP"/>
    <x v="316"/>
    <x v="6"/>
    <n v="71999"/>
    <n v="119999"/>
    <n v="0.4"/>
    <n v="4.2"/>
    <n v="50"/>
    <n v="1"/>
    <b v="0"/>
    <b v="0"/>
    <b v="0"/>
    <b v="0"/>
    <d v="2026-06-05T00:00:00"/>
    <n v="210"/>
    <n v="71999"/>
    <s v="Above ₹10,000"/>
    <x v="0"/>
  </r>
  <r>
    <s v="B0GTZ8M66Y"/>
    <x v="317"/>
    <x v="6"/>
    <n v="39999"/>
    <n v="65990"/>
    <n v="0.39400000000000002"/>
    <n v="4"/>
    <n v="9025"/>
    <n v="1"/>
    <b v="0"/>
    <b v="0"/>
    <b v="0"/>
    <b v="0"/>
    <d v="2026-06-05T00:00:00"/>
    <n v="36100"/>
    <n v="39999"/>
    <s v="Above ₹10,000"/>
    <x v="0"/>
  </r>
  <r>
    <s v="B09Y66SYY2"/>
    <x v="318"/>
    <x v="6"/>
    <n v="471990"/>
    <n v="691300"/>
    <n v="0.317"/>
    <m/>
    <n v="0"/>
    <n v="1"/>
    <b v="0"/>
    <b v="0"/>
    <b v="0"/>
    <b v="0"/>
    <d v="2026-06-05T00:00:00"/>
    <s v=""/>
    <n v="471990"/>
    <s v="Above ₹10,000"/>
    <x v="4"/>
  </r>
  <r>
    <s v="B0FG37BH6L"/>
    <x v="319"/>
    <x v="6"/>
    <n v="47999"/>
    <n v="70000"/>
    <n v="0.314"/>
    <n v="4.3"/>
    <n v="620"/>
    <n v="1"/>
    <b v="0"/>
    <b v="0"/>
    <b v="0"/>
    <b v="0"/>
    <d v="2026-06-05T00:00:00"/>
    <n v="2666"/>
    <n v="47999"/>
    <s v="Above ₹10,000"/>
    <x v="0"/>
  </r>
  <r>
    <s v="B0FBM79V24"/>
    <x v="320"/>
    <x v="6"/>
    <n v="10499"/>
    <n v="19990"/>
    <n v="0.47499999999999998"/>
    <n v="3.4"/>
    <n v="145"/>
    <n v="1"/>
    <b v="0"/>
    <b v="0"/>
    <b v="0"/>
    <b v="0"/>
    <d v="2026-06-05T00:00:00"/>
    <n v="493"/>
    <n v="10499"/>
    <s v="Above ₹10,000"/>
    <x v="1"/>
  </r>
  <r>
    <s v="B0F3JL3MSL"/>
    <x v="321"/>
    <x v="6"/>
    <n v="229990"/>
    <n v="699990"/>
    <n v="0.67100000000000004"/>
    <n v="5"/>
    <n v="1"/>
    <n v="1"/>
    <b v="0"/>
    <b v="0"/>
    <b v="0"/>
    <b v="0"/>
    <d v="2026-06-05T00:00:00"/>
    <n v="5"/>
    <n v="229990"/>
    <s v="Above ₹10,000"/>
    <x v="3"/>
  </r>
  <r>
    <s v="B0FB35J4B6"/>
    <x v="322"/>
    <x v="6"/>
    <m/>
    <m/>
    <m/>
    <n v="4"/>
    <n v="9025"/>
    <n v="1"/>
    <b v="0"/>
    <b v="0"/>
    <b v="0"/>
    <b v="0"/>
    <d v="2026-06-05T00:00:00"/>
    <n v="36100"/>
    <m/>
    <s v=" "/>
    <x v="0"/>
  </r>
  <r>
    <s v="B0DS18SHTL"/>
    <x v="323"/>
    <x v="6"/>
    <n v="90499"/>
    <n v="119999"/>
    <n v="0.246"/>
    <n v="3.5"/>
    <n v="334"/>
    <n v="1"/>
    <b v="0"/>
    <b v="0"/>
    <b v="0"/>
    <b v="0"/>
    <d v="2026-06-05T00:00:00"/>
    <n v="1169"/>
    <n v="90499"/>
    <s v="Above ₹10,000"/>
    <x v="1"/>
  </r>
  <r>
    <s v="B0GY3TLT1X"/>
    <x v="324"/>
    <x v="6"/>
    <n v="294490"/>
    <n v="499900"/>
    <n v="0.41099999999999998"/>
    <m/>
    <n v="0"/>
    <n v="1"/>
    <b v="0"/>
    <b v="0"/>
    <b v="0"/>
    <b v="0"/>
    <d v="2026-06-05T00:00:00"/>
    <s v=""/>
    <n v="294490"/>
    <s v="Above ₹10,000"/>
    <x v="4"/>
  </r>
  <r>
    <s v="B0F7X88XC1"/>
    <x v="325"/>
    <x v="6"/>
    <n v="123990"/>
    <n v="239900"/>
    <n v="0.48299999999999998"/>
    <n v="4.5999999999999996"/>
    <n v="1351"/>
    <n v="1"/>
    <b v="0"/>
    <b v="0"/>
    <b v="0"/>
    <b v="0"/>
    <d v="2026-06-05T00:00:00"/>
    <n v="6214.5999999999995"/>
    <n v="123990"/>
    <s v="Above ₹10,000"/>
    <x v="3"/>
  </r>
  <r>
    <s v="B0GK9NHCL2"/>
    <x v="326"/>
    <x v="6"/>
    <n v="40999"/>
    <n v="149999"/>
    <n v="0.72699999999999998"/>
    <n v="1"/>
    <n v="1"/>
    <n v="1"/>
    <b v="0"/>
    <b v="0"/>
    <b v="0"/>
    <b v="0"/>
    <d v="2026-06-05T00:00:00"/>
    <n v="1"/>
    <n v="40999"/>
    <s v="Above ₹10,000"/>
    <x v="5"/>
  </r>
  <r>
    <s v="B09Y65HV6N"/>
    <x v="327"/>
    <x v="6"/>
    <n v="471990"/>
    <n v="879900"/>
    <n v="0.46400000000000002"/>
    <n v="3.6"/>
    <n v="36"/>
    <n v="1"/>
    <b v="0"/>
    <b v="0"/>
    <b v="0"/>
    <b v="0"/>
    <d v="2026-06-05T00:00:00"/>
    <n v="129.6"/>
    <n v="471990"/>
    <s v="Above ₹10,000"/>
    <x v="1"/>
  </r>
  <r>
    <s v="B0FWK7W9L7"/>
    <x v="328"/>
    <x v="6"/>
    <m/>
    <m/>
    <m/>
    <n v="4.5999999999999996"/>
    <n v="52"/>
    <n v="1"/>
    <b v="0"/>
    <b v="0"/>
    <b v="0"/>
    <b v="0"/>
    <d v="2026-06-05T00:00:00"/>
    <n v="239.2"/>
    <m/>
    <s v=" "/>
    <x v="3"/>
  </r>
  <r>
    <s v="B0F397D2S6"/>
    <x v="329"/>
    <x v="6"/>
    <n v="32999"/>
    <n v="58999"/>
    <n v="0.441"/>
    <n v="4.2"/>
    <n v="1354"/>
    <n v="1"/>
    <b v="0"/>
    <b v="0"/>
    <b v="0"/>
    <b v="0"/>
    <d v="2026-06-05T00:00:00"/>
    <n v="5686.8"/>
    <n v="32999"/>
    <s v="Above ₹10,000"/>
    <x v="0"/>
  </r>
  <r>
    <s v="B0GKP162R2"/>
    <x v="330"/>
    <x v="6"/>
    <n v="179990"/>
    <n v="399990"/>
    <n v="0.55000000000000004"/>
    <n v="1"/>
    <n v="1"/>
    <n v="1"/>
    <b v="0"/>
    <b v="0"/>
    <b v="0"/>
    <b v="0"/>
    <d v="2026-06-05T00:00:00"/>
    <n v="1"/>
    <n v="179990"/>
    <s v="Above ₹10,000"/>
    <x v="5"/>
  </r>
  <r>
    <s v="B0G6FBF6P6"/>
    <x v="331"/>
    <x v="6"/>
    <n v="15499"/>
    <n v="19990"/>
    <n v="0.22500000000000001"/>
    <n v="5"/>
    <n v="1"/>
    <n v="1"/>
    <b v="0"/>
    <b v="0"/>
    <b v="0"/>
    <b v="0"/>
    <d v="2026-06-05T00:00:00"/>
    <n v="5"/>
    <n v="15499"/>
    <s v="Above ₹10,000"/>
    <x v="3"/>
  </r>
  <r>
    <s v="B0GP77PM6B"/>
    <x v="332"/>
    <x v="7"/>
    <n v="11490"/>
    <n v="16590"/>
    <n v="0.307"/>
    <n v="3.9"/>
    <n v="150"/>
    <n v="1"/>
    <b v="0"/>
    <b v="0"/>
    <b v="0"/>
    <b v="0"/>
    <d v="2026-06-05T00:00:00"/>
    <n v="585"/>
    <n v="11490"/>
    <s v="Above ₹10,000"/>
    <x v="1"/>
  </r>
  <r>
    <s v="B0GGQLB35C"/>
    <x v="333"/>
    <x v="7"/>
    <n v="13640"/>
    <n v="17750"/>
    <n v="0.23200000000000001"/>
    <n v="3.8"/>
    <n v="104"/>
    <n v="1"/>
    <b v="0"/>
    <b v="0"/>
    <b v="0"/>
    <b v="0"/>
    <d v="2026-06-05T00:00:00"/>
    <n v="395.2"/>
    <n v="13640"/>
    <s v="Above ₹10,000"/>
    <x v="1"/>
  </r>
  <r>
    <s v="B0GXJ9LTJ1"/>
    <x v="334"/>
    <x v="7"/>
    <n v="13190"/>
    <n v="17500"/>
    <n v="0.246"/>
    <n v="4.0999999999999996"/>
    <n v="6"/>
    <n v="1"/>
    <b v="0"/>
    <b v="0"/>
    <b v="0"/>
    <b v="0"/>
    <d v="2026-06-05T00:00:00"/>
    <n v="24.599999999999998"/>
    <n v="13190"/>
    <s v="Above ₹10,000"/>
    <x v="0"/>
  </r>
  <r>
    <s v="B0GSQ8N5LZ"/>
    <x v="335"/>
    <x v="7"/>
    <n v="12710"/>
    <n v="27990"/>
    <n v="0.54600000000000004"/>
    <n v="4.2"/>
    <n v="178"/>
    <n v="1"/>
    <b v="0"/>
    <b v="0"/>
    <b v="0"/>
    <b v="0"/>
    <d v="2026-06-05T00:00:00"/>
    <n v="747.6"/>
    <n v="12710"/>
    <s v="Above ₹10,000"/>
    <x v="0"/>
  </r>
  <r>
    <s v="B0G8JTHH46"/>
    <x v="336"/>
    <x v="7"/>
    <n v="18990"/>
    <n v="23999"/>
    <n v="0.20899999999999999"/>
    <n v="4.2"/>
    <n v="1120"/>
    <n v="1"/>
    <b v="0"/>
    <b v="0"/>
    <b v="1"/>
    <b v="0"/>
    <d v="2026-06-05T00:00:00"/>
    <n v="4704"/>
    <n v="18990"/>
    <s v="Above ₹10,000"/>
    <x v="0"/>
  </r>
  <r>
    <s v="B0G8J8SKTH"/>
    <x v="337"/>
    <x v="7"/>
    <n v="18990"/>
    <n v="23999"/>
    <n v="0.20899999999999999"/>
    <n v="4.3"/>
    <n v="1803"/>
    <n v="1"/>
    <b v="0"/>
    <b v="0"/>
    <b v="0"/>
    <b v="0"/>
    <d v="2026-06-05T00:00:00"/>
    <n v="7752.9"/>
    <n v="18990"/>
    <s v="Above ₹10,000"/>
    <x v="0"/>
  </r>
  <r>
    <s v="B0GP6ZGNWT"/>
    <x v="338"/>
    <x v="7"/>
    <n v="15990"/>
    <n v="25590"/>
    <n v="0.375"/>
    <n v="4"/>
    <n v="69"/>
    <n v="1"/>
    <b v="0"/>
    <b v="0"/>
    <b v="0"/>
    <b v="0"/>
    <d v="2026-06-05T00:00:00"/>
    <n v="276"/>
    <n v="15990"/>
    <s v="Above ₹10,000"/>
    <x v="0"/>
  </r>
  <r>
    <s v="B0GSFN886B"/>
    <x v="339"/>
    <x v="7"/>
    <n v="15690"/>
    <n v="52190"/>
    <n v="0.69899999999999995"/>
    <n v="4.0999999999999996"/>
    <n v="295"/>
    <n v="1"/>
    <b v="0"/>
    <b v="0"/>
    <b v="0"/>
    <b v="0"/>
    <d v="2026-06-05T00:00:00"/>
    <n v="1209.5"/>
    <n v="15690"/>
    <s v="Above ₹10,000"/>
    <x v="0"/>
  </r>
  <r>
    <s v="B0G8JR8VNZ"/>
    <x v="340"/>
    <x v="7"/>
    <n v="17590"/>
    <n v="21999"/>
    <n v="0.2"/>
    <n v="4.3"/>
    <n v="4470"/>
    <n v="1"/>
    <b v="0"/>
    <b v="0"/>
    <b v="0"/>
    <b v="0"/>
    <d v="2026-06-05T00:00:00"/>
    <n v="19221"/>
    <n v="17590"/>
    <s v="Above ₹10,000"/>
    <x v="0"/>
  </r>
  <r>
    <s v="B0GS5R57KY"/>
    <x v="341"/>
    <x v="7"/>
    <n v="14490"/>
    <n v="22090"/>
    <n v="0.34399999999999997"/>
    <n v="3.6"/>
    <n v="44"/>
    <n v="1"/>
    <b v="0"/>
    <b v="0"/>
    <b v="0"/>
    <b v="0"/>
    <d v="2026-06-05T00:00:00"/>
    <n v="158.4"/>
    <n v="14490"/>
    <s v="Above ₹10,000"/>
    <x v="1"/>
  </r>
  <r>
    <s v="B0GP6PFXPS"/>
    <x v="342"/>
    <x v="7"/>
    <n v="10490"/>
    <m/>
    <m/>
    <n v="3.9"/>
    <n v="451"/>
    <n v="2"/>
    <b v="0"/>
    <b v="0"/>
    <b v="0"/>
    <b v="0"/>
    <d v="2026-06-05T00:00:00"/>
    <n v="1758.8999999999999"/>
    <n v="10490"/>
    <s v="Above ₹10,000"/>
    <x v="1"/>
  </r>
  <r>
    <s v="B0G8JHZJJQ"/>
    <x v="343"/>
    <x v="7"/>
    <n v="16790"/>
    <n v="20999"/>
    <n v="0.2"/>
    <n v="4.0999999999999996"/>
    <n v="436"/>
    <n v="1"/>
    <b v="0"/>
    <b v="0"/>
    <b v="0"/>
    <b v="0"/>
    <d v="2026-06-05T00:00:00"/>
    <n v="1787.6"/>
    <n v="16790"/>
    <s v="Above ₹10,000"/>
    <x v="0"/>
  </r>
  <r>
    <s v="B0DK9DSC82"/>
    <x v="344"/>
    <x v="7"/>
    <n v="49990"/>
    <n v="84490"/>
    <n v="0.40799999999999997"/>
    <n v="4.0999999999999996"/>
    <n v="111"/>
    <n v="1"/>
    <b v="0"/>
    <b v="0"/>
    <b v="0"/>
    <b v="0"/>
    <d v="2026-06-05T00:00:00"/>
    <n v="455.09999999999997"/>
    <n v="49990"/>
    <s v="Above ₹10,000"/>
    <x v="0"/>
  </r>
  <r>
    <s v="B0G8JL17DP"/>
    <x v="345"/>
    <x v="7"/>
    <n v="18990"/>
    <n v="23999"/>
    <n v="0.20899999999999999"/>
    <n v="4.4000000000000004"/>
    <n v="2342"/>
    <n v="1"/>
    <b v="0"/>
    <b v="0"/>
    <b v="0"/>
    <b v="0"/>
    <d v="2026-06-05T00:00:00"/>
    <n v="10304.800000000001"/>
    <n v="18990"/>
    <s v="Above ₹10,000"/>
    <x v="0"/>
  </r>
  <r>
    <s v="B0GP6PSRT2"/>
    <x v="346"/>
    <x v="7"/>
    <n v="15990"/>
    <n v="25790"/>
    <n v="0.38"/>
    <n v="4"/>
    <n v="2525"/>
    <n v="1"/>
    <b v="0"/>
    <b v="0"/>
    <b v="0"/>
    <b v="0"/>
    <d v="2026-06-05T00:00:00"/>
    <n v="10100"/>
    <n v="15990"/>
    <s v="Above ₹10,000"/>
    <x v="0"/>
  </r>
  <r>
    <s v="B0D222PDZ3"/>
    <x v="347"/>
    <x v="7"/>
    <n v="29390"/>
    <n v="36000"/>
    <n v="0.184"/>
    <n v="3.9"/>
    <n v="11824"/>
    <n v="2"/>
    <b v="0"/>
    <b v="0"/>
    <b v="0"/>
    <b v="0"/>
    <d v="2026-06-05T00:00:00"/>
    <n v="46113.599999999999"/>
    <n v="29390"/>
    <s v="Above ₹10,000"/>
    <x v="1"/>
  </r>
  <r>
    <s v="B0GS1X1ZVD"/>
    <x v="348"/>
    <x v="7"/>
    <n v="17190"/>
    <n v="27290"/>
    <n v="0.37"/>
    <n v="4.0999999999999996"/>
    <n v="707"/>
    <n v="1"/>
    <b v="0"/>
    <b v="0"/>
    <b v="0"/>
    <b v="0"/>
    <d v="2026-06-05T00:00:00"/>
    <n v="2898.7"/>
    <n v="17190"/>
    <s v="Above ₹10,000"/>
    <x v="0"/>
  </r>
  <r>
    <s v="B0GGQR1722"/>
    <x v="349"/>
    <x v="7"/>
    <n v="17590"/>
    <n v="21750"/>
    <n v="0.191"/>
    <n v="3.9"/>
    <n v="50"/>
    <n v="1"/>
    <b v="0"/>
    <b v="0"/>
    <b v="0"/>
    <b v="0"/>
    <d v="2026-06-05T00:00:00"/>
    <n v="195"/>
    <n v="17590"/>
    <s v="Above ₹10,000"/>
    <x v="1"/>
  </r>
  <r>
    <s v="B0CW5WNPTM"/>
    <x v="350"/>
    <x v="7"/>
    <n v="11990"/>
    <m/>
    <m/>
    <n v="4.3"/>
    <n v="957"/>
    <n v="1"/>
    <b v="0"/>
    <b v="0"/>
    <b v="0"/>
    <b v="0"/>
    <d v="2026-06-05T00:00:00"/>
    <n v="4115.0999999999995"/>
    <n v="11990"/>
    <s v="Above ₹10,000"/>
    <x v="0"/>
  </r>
  <r>
    <s v="B0GW2Q1JV7"/>
    <x v="351"/>
    <x v="7"/>
    <n v="20790"/>
    <n v="29300"/>
    <n v="0.28999999999999998"/>
    <n v="4.2"/>
    <n v="478"/>
    <n v="1"/>
    <b v="0"/>
    <b v="0"/>
    <b v="0"/>
    <b v="0"/>
    <d v="2026-06-05T00:00:00"/>
    <n v="2007.6000000000001"/>
    <n v="20790"/>
    <s v="Above ₹10,000"/>
    <x v="0"/>
  </r>
  <r>
    <s v="B0GGPD93C1"/>
    <x v="352"/>
    <x v="7"/>
    <n v="17950"/>
    <n v="21050"/>
    <n v="0.14699999999999999"/>
    <n v="4"/>
    <n v="2191"/>
    <n v="1"/>
    <b v="0"/>
    <b v="0"/>
    <b v="0"/>
    <b v="0"/>
    <d v="2026-06-05T00:00:00"/>
    <n v="8764"/>
    <n v="17950"/>
    <s v="Above ₹10,000"/>
    <x v="0"/>
  </r>
  <r>
    <s v="B0GRCY68XY"/>
    <x v="353"/>
    <x v="7"/>
    <n v="16990"/>
    <n v="24490"/>
    <n v="0.30599999999999999"/>
    <n v="3.8"/>
    <n v="290"/>
    <n v="1"/>
    <b v="0"/>
    <b v="0"/>
    <b v="0"/>
    <b v="0"/>
    <d v="2026-06-05T00:00:00"/>
    <n v="1102"/>
    <n v="16990"/>
    <s v="Above ₹10,000"/>
    <x v="1"/>
  </r>
  <r>
    <s v="B0GWF11XZW"/>
    <x v="354"/>
    <x v="7"/>
    <n v="17690"/>
    <n v="24500"/>
    <n v="0.27800000000000002"/>
    <m/>
    <n v="0"/>
    <n v="1"/>
    <b v="0"/>
    <b v="0"/>
    <b v="0"/>
    <b v="0"/>
    <d v="2026-06-05T00:00:00"/>
    <s v=""/>
    <n v="17690"/>
    <s v="Above ₹10,000"/>
    <x v="4"/>
  </r>
  <r>
    <s v="B0G8JZHV2S"/>
    <x v="355"/>
    <x v="7"/>
    <n v="43990"/>
    <n v="51999"/>
    <n v="0.154"/>
    <n v="4"/>
    <n v="34"/>
    <n v="1"/>
    <b v="0"/>
    <b v="0"/>
    <b v="0"/>
    <b v="0"/>
    <d v="2026-06-05T00:00:00"/>
    <n v="136"/>
    <n v="43990"/>
    <s v="Above ₹10,000"/>
    <x v="0"/>
  </r>
  <r>
    <s v="B0G8JRG8LT"/>
    <x v="356"/>
    <x v="7"/>
    <n v="28990"/>
    <n v="35999"/>
    <n v="0.19500000000000001"/>
    <n v="3.7"/>
    <n v="137"/>
    <n v="1"/>
    <b v="0"/>
    <b v="0"/>
    <b v="0"/>
    <b v="0"/>
    <d v="2026-06-05T00:00:00"/>
    <n v="506.90000000000003"/>
    <n v="28990"/>
    <s v="Above ₹10,000"/>
    <x v="1"/>
  </r>
  <r>
    <s v="B0G8JXNCB1"/>
    <x v="357"/>
    <x v="7"/>
    <n v="16890"/>
    <m/>
    <m/>
    <n v="4.0999999999999996"/>
    <n v="658"/>
    <n v="1"/>
    <b v="0"/>
    <b v="0"/>
    <b v="0"/>
    <b v="0"/>
    <d v="2026-06-05T00:00:00"/>
    <n v="2697.7999999999997"/>
    <n v="16890"/>
    <s v="Above ₹10,000"/>
    <x v="0"/>
  </r>
  <r>
    <s v="B0GW2YHFCX"/>
    <x v="358"/>
    <x v="7"/>
    <n v="17990"/>
    <n v="24700"/>
    <n v="0.27200000000000002"/>
    <n v="4.2"/>
    <n v="1372"/>
    <n v="1"/>
    <b v="0"/>
    <b v="0"/>
    <b v="0"/>
    <b v="0"/>
    <d v="2026-06-05T00:00:00"/>
    <n v="5762.4000000000005"/>
    <n v="17990"/>
    <s v="Above ₹10,000"/>
    <x v="0"/>
  </r>
  <r>
    <s v="B0GK7YXSK1"/>
    <x v="359"/>
    <x v="7"/>
    <n v="22740"/>
    <m/>
    <m/>
    <n v="4"/>
    <n v="91"/>
    <n v="2"/>
    <b v="0"/>
    <b v="0"/>
    <b v="0"/>
    <b v="0"/>
    <d v="2026-06-05T00:00:00"/>
    <n v="364"/>
    <n v="22740"/>
    <s v="Above ₹10,000"/>
    <x v="0"/>
  </r>
  <r>
    <s v="B0GL7M6KT4"/>
    <x v="360"/>
    <x v="7"/>
    <n v="11990"/>
    <n v="12990"/>
    <n v="7.6999999999999999E-2"/>
    <n v="4.4000000000000004"/>
    <n v="13"/>
    <n v="1"/>
    <b v="0"/>
    <b v="0"/>
    <b v="0"/>
    <b v="0"/>
    <d v="2026-06-05T00:00:00"/>
    <n v="57.2"/>
    <n v="11990"/>
    <s v="Above ₹10,000"/>
    <x v="0"/>
  </r>
  <r>
    <s v="B0GRW157R2"/>
    <x v="361"/>
    <x v="7"/>
    <n v="18490"/>
    <n v="26290"/>
    <n v="0.29699999999999999"/>
    <n v="3.7"/>
    <n v="13"/>
    <n v="1"/>
    <b v="0"/>
    <b v="0"/>
    <b v="0"/>
    <b v="0"/>
    <d v="2026-06-05T00:00:00"/>
    <n v="48.1"/>
    <n v="18490"/>
    <s v="Above ₹10,000"/>
    <x v="1"/>
  </r>
  <r>
    <s v="B0GP6T4T83"/>
    <x v="362"/>
    <x v="7"/>
    <n v="23090"/>
    <n v="35890"/>
    <n v="0.35699999999999998"/>
    <n v="3.2"/>
    <n v="37"/>
    <n v="1"/>
    <b v="0"/>
    <b v="0"/>
    <b v="0"/>
    <b v="0"/>
    <d v="2026-06-05T00:00:00"/>
    <n v="118.4"/>
    <n v="23090"/>
    <s v="Above ₹10,000"/>
    <x v="1"/>
  </r>
  <r>
    <s v="B0G8JSRB87"/>
    <x v="363"/>
    <x v="7"/>
    <n v="18990"/>
    <n v="23999"/>
    <n v="0.20899999999999999"/>
    <n v="4.2"/>
    <n v="1120"/>
    <n v="1"/>
    <b v="0"/>
    <b v="0"/>
    <b v="0"/>
    <b v="0"/>
    <d v="2026-06-05T00:00:00"/>
    <n v="4704"/>
    <n v="18990"/>
    <s v="Above ₹10,000"/>
    <x v="0"/>
  </r>
  <r>
    <s v="B0GPCZBHPH"/>
    <x v="364"/>
    <x v="7"/>
    <n v="25990"/>
    <n v="36990"/>
    <n v="0.29699999999999999"/>
    <n v="3.9"/>
    <n v="26"/>
    <n v="1"/>
    <b v="0"/>
    <b v="0"/>
    <b v="0"/>
    <b v="0"/>
    <d v="2026-06-05T00:00:00"/>
    <n v="101.39999999999999"/>
    <n v="25990"/>
    <s v="Above ₹10,000"/>
    <x v="1"/>
  </r>
  <r>
    <s v="B0GL2M7N7Z"/>
    <x v="365"/>
    <x v="7"/>
    <n v="16990"/>
    <n v="26490"/>
    <n v="0.35899999999999999"/>
    <n v="4.0999999999999996"/>
    <n v="2290"/>
    <n v="1"/>
    <b v="0"/>
    <b v="0"/>
    <b v="0"/>
    <b v="0"/>
    <d v="2026-06-05T00:00:00"/>
    <n v="9389"/>
    <n v="16990"/>
    <s v="Above ₹10,000"/>
    <x v="0"/>
  </r>
  <r>
    <s v="B092QNXXNH"/>
    <x v="366"/>
    <x v="7"/>
    <n v="134890"/>
    <n v="149990"/>
    <n v="0.10100000000000001"/>
    <n v="3.6"/>
    <n v="13"/>
    <n v="1"/>
    <b v="0"/>
    <b v="0"/>
    <b v="0"/>
    <b v="0"/>
    <d v="2026-06-05T00:00:00"/>
    <n v="46.800000000000004"/>
    <n v="134890"/>
    <s v="Above ₹10,000"/>
    <x v="1"/>
  </r>
  <r>
    <s v="B0F4WVW7D9"/>
    <x v="367"/>
    <x v="7"/>
    <n v="44999"/>
    <n v="110990"/>
    <n v="0.59499999999999997"/>
    <n v="4.0999999999999996"/>
    <n v="415"/>
    <n v="1"/>
    <b v="0"/>
    <b v="0"/>
    <b v="0"/>
    <b v="0"/>
    <d v="2026-06-05T00:00:00"/>
    <n v="1701.4999999999998"/>
    <n v="44999"/>
    <s v="Above ₹10,000"/>
    <x v="0"/>
  </r>
  <r>
    <s v="B0GXJKFPSF"/>
    <x v="368"/>
    <x v="7"/>
    <n v="15690"/>
    <n v="24490"/>
    <n v="0.35899999999999999"/>
    <n v="5"/>
    <n v="1"/>
    <n v="1"/>
    <b v="0"/>
    <b v="0"/>
    <b v="0"/>
    <b v="0"/>
    <d v="2026-06-05T00:00:00"/>
    <n v="5"/>
    <n v="15690"/>
    <s v="Above ₹10,000"/>
    <x v="3"/>
  </r>
  <r>
    <s v="B0G8JJD3CM"/>
    <x v="369"/>
    <x v="7"/>
    <n v="20490"/>
    <n v="25999"/>
    <n v="0.21199999999999999"/>
    <n v="3.7"/>
    <n v="30"/>
    <n v="1"/>
    <b v="0"/>
    <b v="0"/>
    <b v="0"/>
    <b v="0"/>
    <d v="2026-06-05T00:00:00"/>
    <n v="111"/>
    <n v="20490"/>
    <s v="Above ₹10,000"/>
    <x v="1"/>
  </r>
  <r>
    <s v="B0DFCVM72W"/>
    <x v="370"/>
    <x v="7"/>
    <n v="45099"/>
    <m/>
    <m/>
    <n v="4.0999999999999996"/>
    <n v="1193"/>
    <n v="3"/>
    <b v="0"/>
    <b v="0"/>
    <b v="0"/>
    <b v="0"/>
    <d v="2026-06-05T00:00:00"/>
    <n v="4891.2999999999993"/>
    <n v="45099"/>
    <s v="Above ₹10,000"/>
    <x v="0"/>
  </r>
  <r>
    <s v="B0G4S5HZ9R"/>
    <x v="371"/>
    <x v="7"/>
    <n v="9490"/>
    <n v="10500"/>
    <n v="9.6000000000000002E-2"/>
    <n v="4.0999999999999996"/>
    <n v="136"/>
    <n v="1"/>
    <b v="0"/>
    <b v="0"/>
    <b v="0"/>
    <b v="0"/>
    <d v="2026-06-05T00:00:00"/>
    <n v="557.59999999999991"/>
    <n v="9490"/>
    <s v="₹5,000–₹10,000"/>
    <x v="0"/>
  </r>
  <r>
    <s v="B0G8JRCJ3N"/>
    <x v="372"/>
    <x v="7"/>
    <n v="36990"/>
    <n v="44999"/>
    <n v="0.17799999999999999"/>
    <n v="4.2"/>
    <n v="288"/>
    <n v="1"/>
    <b v="0"/>
    <b v="0"/>
    <b v="0"/>
    <b v="0"/>
    <d v="2026-06-05T00:00:00"/>
    <n v="1209.6000000000001"/>
    <n v="36990"/>
    <s v="Above ₹10,000"/>
    <x v="0"/>
  </r>
  <r>
    <s v="B0GW8PT5TC"/>
    <x v="373"/>
    <x v="7"/>
    <n v="32990"/>
    <n v="46990"/>
    <n v="0.29799999999999999"/>
    <m/>
    <n v="0"/>
    <n v="1"/>
    <b v="0"/>
    <b v="0"/>
    <b v="0"/>
    <b v="0"/>
    <d v="2026-06-05T00:00:00"/>
    <s v=""/>
    <n v="32990"/>
    <s v="Above ₹10,000"/>
    <x v="4"/>
  </r>
  <r>
    <s v="B093Q1SLL4"/>
    <x v="374"/>
    <x v="7"/>
    <n v="67990"/>
    <n v="87990"/>
    <n v="0.22700000000000001"/>
    <n v="4.0999999999999996"/>
    <n v="675"/>
    <n v="1"/>
    <b v="0"/>
    <b v="0"/>
    <b v="0"/>
    <b v="0"/>
    <d v="2026-06-05T00:00:00"/>
    <n v="2767.4999999999995"/>
    <n v="67990"/>
    <s v="Above ₹10,000"/>
    <x v="0"/>
  </r>
  <r>
    <s v="B0GK87BDTR"/>
    <x v="375"/>
    <x v="7"/>
    <n v="23890"/>
    <n v="23990"/>
    <n v="4.0000000000000001E-3"/>
    <n v="3.5"/>
    <n v="38"/>
    <n v="1"/>
    <b v="0"/>
    <b v="0"/>
    <b v="0"/>
    <b v="0"/>
    <d v="2026-06-05T00:00:00"/>
    <n v="133"/>
    <n v="23890"/>
    <s v="Above ₹10,000"/>
    <x v="1"/>
  </r>
  <r>
    <s v="B0GP6YPGPC"/>
    <x v="376"/>
    <x v="7"/>
    <n v="37890"/>
    <n v="59690"/>
    <n v="0.36499999999999999"/>
    <n v="4"/>
    <n v="1921"/>
    <n v="1"/>
    <b v="0"/>
    <b v="0"/>
    <b v="0"/>
    <b v="0"/>
    <d v="2026-06-05T00:00:00"/>
    <n v="7684"/>
    <n v="37890"/>
    <s v="Above ₹10,000"/>
    <x v="0"/>
  </r>
  <r>
    <s v="B0CCJQ6449"/>
    <x v="377"/>
    <x v="7"/>
    <n v="18990"/>
    <m/>
    <m/>
    <n v="4.0999999999999996"/>
    <n v="110"/>
    <n v="1"/>
    <b v="0"/>
    <b v="0"/>
    <b v="0"/>
    <b v="0"/>
    <d v="2026-06-05T00:00:00"/>
    <n v="450.99999999999994"/>
    <n v="18990"/>
    <s v="Above ₹10,000"/>
    <x v="0"/>
  </r>
  <r>
    <s v="B0GMQBMGGN"/>
    <x v="378"/>
    <x v="7"/>
    <n v="41490"/>
    <n v="56490"/>
    <n v="0.26600000000000001"/>
    <n v="2.5"/>
    <n v="7"/>
    <n v="1"/>
    <b v="0"/>
    <b v="0"/>
    <b v="0"/>
    <b v="0"/>
    <d v="2026-06-05T00:00:00"/>
    <n v="17.5"/>
    <n v="41490"/>
    <s v="Above ₹10,000"/>
    <x v="2"/>
  </r>
  <r>
    <s v="B09CDRVKDP"/>
    <x v="379"/>
    <x v="7"/>
    <n v="85990"/>
    <n v="108990"/>
    <n v="0.21099999999999999"/>
    <n v="4.0999999999999996"/>
    <n v="28"/>
    <n v="1"/>
    <b v="0"/>
    <b v="0"/>
    <b v="0"/>
    <b v="0"/>
    <d v="2026-06-05T00:00:00"/>
    <n v="114.79999999999998"/>
    <n v="85990"/>
    <s v="Above ₹10,000"/>
    <x v="0"/>
  </r>
  <r>
    <s v="B0DV43D663"/>
    <x v="380"/>
    <x v="8"/>
    <n v="7490"/>
    <n v="18999"/>
    <n v="0.60599999999999998"/>
    <n v="4.2"/>
    <n v="1722"/>
    <n v="1"/>
    <b v="0"/>
    <b v="0"/>
    <b v="0"/>
    <b v="0"/>
    <d v="2026-06-05T00:00:00"/>
    <n v="7232.4000000000005"/>
    <n v="7490"/>
    <s v="₹5,000–₹10,000"/>
    <x v="0"/>
  </r>
  <r>
    <s v="B0CC8P3J3L"/>
    <x v="381"/>
    <x v="8"/>
    <n v="13790"/>
    <n v="18490"/>
    <n v="0.254"/>
    <n v="4.3"/>
    <n v="2069"/>
    <n v="1"/>
    <b v="0"/>
    <b v="0"/>
    <b v="1"/>
    <b v="0"/>
    <d v="2026-06-05T00:00:00"/>
    <n v="8896.6999999999989"/>
    <n v="13790"/>
    <s v="Above ₹10,000"/>
    <x v="0"/>
  </r>
  <r>
    <s v="B0GVRK9Y7Y"/>
    <x v="382"/>
    <x v="8"/>
    <n v="20490"/>
    <n v="44990"/>
    <n v="0.54500000000000004"/>
    <n v="5"/>
    <n v="2"/>
    <n v="1"/>
    <b v="0"/>
    <b v="0"/>
    <b v="0"/>
    <b v="0"/>
    <d v="2026-06-05T00:00:00"/>
    <n v="10"/>
    <n v="20490"/>
    <s v="Above ₹10,000"/>
    <x v="3"/>
  </r>
  <r>
    <s v="B0DSBRDRDV"/>
    <x v="383"/>
    <x v="8"/>
    <n v="16740"/>
    <n v="19550"/>
    <n v="0.14399999999999999"/>
    <n v="4"/>
    <n v="13937"/>
    <n v="1"/>
    <b v="0"/>
    <b v="0"/>
    <b v="0"/>
    <b v="0"/>
    <d v="2026-06-05T00:00:00"/>
    <n v="55748"/>
    <n v="16740"/>
    <s v="Above ₹10,000"/>
    <x v="0"/>
  </r>
  <r>
    <s v="B09DD573SY"/>
    <x v="384"/>
    <x v="8"/>
    <n v="11990"/>
    <n v="16090"/>
    <n v="0.255"/>
    <n v="4.4000000000000004"/>
    <n v="8258"/>
    <n v="1"/>
    <b v="0"/>
    <b v="0"/>
    <b v="0"/>
    <b v="0"/>
    <d v="2026-06-05T00:00:00"/>
    <n v="36335.200000000004"/>
    <n v="11990"/>
    <s v="Above ₹10,000"/>
    <x v="0"/>
  </r>
  <r>
    <s v="B09T6NX8W2"/>
    <x v="385"/>
    <x v="8"/>
    <n v="9990"/>
    <n v="12500"/>
    <n v="0.20100000000000001"/>
    <n v="3.9"/>
    <n v="1653"/>
    <n v="1"/>
    <b v="0"/>
    <b v="0"/>
    <b v="0"/>
    <b v="0"/>
    <d v="2026-06-05T00:00:00"/>
    <n v="6446.7"/>
    <n v="9990"/>
    <s v="₹5,000–₹10,000"/>
    <x v="1"/>
  </r>
  <r>
    <s v="B0CW93ZCB6"/>
    <x v="386"/>
    <x v="8"/>
    <n v="8590"/>
    <n v="12500"/>
    <n v="0.313"/>
    <n v="4"/>
    <n v="768"/>
    <n v="1"/>
    <b v="0"/>
    <b v="0"/>
    <b v="0"/>
    <b v="0"/>
    <d v="2026-06-05T00:00:00"/>
    <n v="3072"/>
    <n v="8590"/>
    <s v="₹5,000–₹10,000"/>
    <x v="0"/>
  </r>
  <r>
    <s v="B0GTML5HR7"/>
    <x v="387"/>
    <x v="8"/>
    <n v="11790"/>
    <n v="19990"/>
    <n v="0.41"/>
    <n v="4.5"/>
    <n v="2"/>
    <n v="1"/>
    <b v="0"/>
    <b v="0"/>
    <b v="0"/>
    <b v="0"/>
    <d v="2026-06-05T00:00:00"/>
    <n v="9"/>
    <n v="11790"/>
    <s v="Above ₹10,000"/>
    <x v="3"/>
  </r>
  <r>
    <s v="B0B8NHX62W"/>
    <x v="388"/>
    <x v="8"/>
    <n v="18690"/>
    <n v="22500"/>
    <n v="0.16900000000000001"/>
    <n v="4.0999999999999996"/>
    <n v="5698"/>
    <n v="1"/>
    <b v="0"/>
    <b v="0"/>
    <b v="0"/>
    <b v="0"/>
    <d v="2026-06-05T00:00:00"/>
    <n v="23361.8"/>
    <n v="18690"/>
    <s v="Above ₹10,000"/>
    <x v="0"/>
  </r>
  <r>
    <s v="B0FHPZLTDL"/>
    <x v="389"/>
    <x v="8"/>
    <n v="18640"/>
    <n v="23250"/>
    <n v="0.19800000000000001"/>
    <n v="4"/>
    <n v="13248"/>
    <n v="1"/>
    <b v="0"/>
    <b v="0"/>
    <b v="0"/>
    <b v="0"/>
    <d v="2026-06-05T00:00:00"/>
    <n v="52992"/>
    <n v="18640"/>
    <s v="Above ₹10,000"/>
    <x v="0"/>
  </r>
  <r>
    <s v="B0BD8ZPFJQ"/>
    <x v="390"/>
    <x v="8"/>
    <n v="15490"/>
    <n v="19990"/>
    <n v="0.22500000000000001"/>
    <n v="4.3"/>
    <n v="1601"/>
    <n v="1"/>
    <b v="0"/>
    <b v="0"/>
    <b v="0"/>
    <b v="0"/>
    <d v="2026-06-05T00:00:00"/>
    <n v="6884.2999999999993"/>
    <n v="15490"/>
    <s v="Above ₹10,000"/>
    <x v="0"/>
  </r>
  <r>
    <s v="B0C8BDB9WZ"/>
    <x v="391"/>
    <x v="8"/>
    <n v="9890"/>
    <n v="15500"/>
    <n v="0.36199999999999999"/>
    <n v="4.0999999999999996"/>
    <n v="950"/>
    <n v="1"/>
    <b v="0"/>
    <b v="0"/>
    <b v="0"/>
    <b v="0"/>
    <d v="2026-06-05T00:00:00"/>
    <n v="3894.9999999999995"/>
    <n v="9890"/>
    <s v="₹5,000–₹10,000"/>
    <x v="0"/>
  </r>
  <r>
    <s v="B0DPHT2HZL"/>
    <x v="392"/>
    <x v="8"/>
    <n v="19990"/>
    <m/>
    <m/>
    <n v="4.2"/>
    <n v="2271"/>
    <n v="1"/>
    <b v="0"/>
    <b v="0"/>
    <b v="0"/>
    <b v="0"/>
    <d v="2026-06-05T00:00:00"/>
    <n v="9538.2000000000007"/>
    <n v="19990"/>
    <s v="Above ₹10,000"/>
    <x v="0"/>
  </r>
  <r>
    <s v="B0GRGB5XSK"/>
    <x v="393"/>
    <x v="8"/>
    <n v="23990"/>
    <n v="30990"/>
    <n v="0.22600000000000001"/>
    <n v="4.4000000000000004"/>
    <n v="25177"/>
    <n v="1"/>
    <b v="0"/>
    <b v="0"/>
    <b v="0"/>
    <b v="0"/>
    <d v="2026-06-05T00:00:00"/>
    <n v="110778.8"/>
    <n v="23990"/>
    <s v="Above ₹10,000"/>
    <x v="0"/>
  </r>
  <r>
    <s v="B09T6NH99B"/>
    <x v="394"/>
    <x v="8"/>
    <n v="11490"/>
    <n v="14150"/>
    <n v="0.188"/>
    <n v="4.3"/>
    <n v="7194"/>
    <n v="1"/>
    <b v="0"/>
    <b v="0"/>
    <b v="0"/>
    <b v="0"/>
    <d v="2026-06-05T00:00:00"/>
    <n v="30934.199999999997"/>
    <n v="11490"/>
    <s v="Above ₹10,000"/>
    <x v="0"/>
  </r>
  <r>
    <s v="B0B8NK5HTH"/>
    <x v="395"/>
    <x v="8"/>
    <n v="20690"/>
    <n v="27000"/>
    <n v="0.23400000000000001"/>
    <n v="4"/>
    <n v="4639"/>
    <n v="1"/>
    <b v="0"/>
    <b v="0"/>
    <b v="0"/>
    <b v="0"/>
    <d v="2026-06-05T00:00:00"/>
    <n v="18556"/>
    <n v="20690"/>
    <s v="Above ₹10,000"/>
    <x v="0"/>
  </r>
  <r>
    <s v="B0D8L9RCK7"/>
    <x v="396"/>
    <x v="8"/>
    <n v="19490"/>
    <n v="25290"/>
    <n v="0.22900000000000001"/>
    <n v="4"/>
    <n v="2324"/>
    <n v="1"/>
    <b v="0"/>
    <b v="0"/>
    <b v="0"/>
    <b v="0"/>
    <d v="2026-06-05T00:00:00"/>
    <n v="9296"/>
    <n v="19490"/>
    <s v="Above ₹10,000"/>
    <x v="0"/>
  </r>
  <r>
    <s v="B0F4QQVV1L"/>
    <x v="397"/>
    <x v="8"/>
    <n v="27490"/>
    <n v="42490"/>
    <n v="0.35299999999999998"/>
    <n v="4.3"/>
    <n v="655"/>
    <n v="1"/>
    <b v="0"/>
    <b v="0"/>
    <b v="0"/>
    <b v="0"/>
    <d v="2026-06-05T00:00:00"/>
    <n v="2816.5"/>
    <n v="27490"/>
    <s v="Above ₹10,000"/>
    <x v="0"/>
  </r>
  <r>
    <s v="B0DXQ5MQCF"/>
    <x v="398"/>
    <x v="8"/>
    <n v="7590"/>
    <n v="18990"/>
    <n v="0.6"/>
    <n v="4.4000000000000004"/>
    <n v="215"/>
    <n v="1"/>
    <b v="0"/>
    <b v="0"/>
    <b v="0"/>
    <b v="0"/>
    <d v="2026-06-05T00:00:00"/>
    <n v="946.00000000000011"/>
    <n v="7590"/>
    <s v="₹5,000–₹10,000"/>
    <x v="0"/>
  </r>
  <r>
    <s v="B0DGLLG6FR"/>
    <x v="399"/>
    <x v="8"/>
    <n v="10990"/>
    <n v="13550"/>
    <n v="0.189"/>
    <n v="4.3"/>
    <n v="12638"/>
    <n v="1"/>
    <b v="0"/>
    <b v="0"/>
    <b v="0"/>
    <b v="0"/>
    <d v="2026-06-05T00:00:00"/>
    <n v="54343.399999999994"/>
    <n v="10990"/>
    <s v="Above ₹10,000"/>
    <x v="0"/>
  </r>
  <r>
    <s v="B0G4H669DY"/>
    <x v="400"/>
    <x v="8"/>
    <n v="10990"/>
    <n v="34999"/>
    <n v="0.68600000000000005"/>
    <n v="3.8"/>
    <n v="91"/>
    <n v="1"/>
    <b v="0"/>
    <b v="0"/>
    <b v="0"/>
    <b v="0"/>
    <d v="2026-06-05T00:00:00"/>
    <n v="345.8"/>
    <n v="10990"/>
    <s v="Above ₹10,000"/>
    <x v="1"/>
  </r>
  <r>
    <s v="B0GCNSBMR3"/>
    <x v="401"/>
    <x v="8"/>
    <n v="17990"/>
    <n v="24490"/>
    <n v="0.26500000000000001"/>
    <n v="4.2"/>
    <n v="2129"/>
    <n v="1"/>
    <b v="0"/>
    <b v="0"/>
    <b v="0"/>
    <b v="0"/>
    <d v="2026-06-05T00:00:00"/>
    <n v="8941.8000000000011"/>
    <n v="17990"/>
    <s v="Above ₹10,000"/>
    <x v="0"/>
  </r>
  <r>
    <s v="B0C3LHV43S"/>
    <x v="402"/>
    <x v="8"/>
    <n v="41990"/>
    <n v="53990"/>
    <n v="0.222"/>
    <n v="4.3"/>
    <n v="1961"/>
    <n v="1"/>
    <b v="0"/>
    <b v="0"/>
    <b v="0"/>
    <b v="0"/>
    <d v="2026-06-05T00:00:00"/>
    <n v="8432.2999999999993"/>
    <n v="41990"/>
    <s v="Above ₹10,000"/>
    <x v="0"/>
  </r>
  <r>
    <s v="B0CW3K1TZL"/>
    <x v="403"/>
    <x v="8"/>
    <n v="12990"/>
    <n v="23990"/>
    <n v="0.45900000000000002"/>
    <n v="4"/>
    <n v="434"/>
    <n v="1"/>
    <b v="0"/>
    <b v="0"/>
    <b v="0"/>
    <b v="0"/>
    <d v="2026-06-05T00:00:00"/>
    <n v="1736"/>
    <n v="12990"/>
    <s v="Above ₹10,000"/>
    <x v="0"/>
  </r>
  <r>
    <s v="B0F4K415FW"/>
    <x v="404"/>
    <x v="8"/>
    <n v="29990"/>
    <n v="48190"/>
    <n v="0.378"/>
    <n v="4.2"/>
    <n v="2364"/>
    <n v="1"/>
    <b v="0"/>
    <b v="0"/>
    <b v="0"/>
    <b v="0"/>
    <d v="2026-06-05T00:00:00"/>
    <n v="9928.8000000000011"/>
    <n v="29990"/>
    <s v="Above ₹10,000"/>
    <x v="0"/>
  </r>
  <r>
    <s v="B0C9M1ZM5S"/>
    <x v="405"/>
    <x v="8"/>
    <n v="15390"/>
    <n v="27990"/>
    <n v="0.45"/>
    <n v="4"/>
    <n v="749"/>
    <n v="1"/>
    <b v="0"/>
    <b v="0"/>
    <b v="0"/>
    <b v="0"/>
    <d v="2026-06-05T00:00:00"/>
    <n v="2996"/>
    <n v="15390"/>
    <s v="Above ₹10,000"/>
    <x v="0"/>
  </r>
  <r>
    <s v="B0F3DBMCBQ"/>
    <x v="406"/>
    <x v="8"/>
    <n v="15389"/>
    <n v="27300"/>
    <n v="0.436"/>
    <n v="4"/>
    <n v="543"/>
    <n v="1"/>
    <b v="0"/>
    <b v="0"/>
    <b v="0"/>
    <b v="0"/>
    <d v="2026-06-05T00:00:00"/>
    <n v="2172"/>
    <n v="15389"/>
    <s v="Above ₹10,000"/>
    <x v="0"/>
  </r>
  <r>
    <s v="B0DCVZWYJV"/>
    <x v="407"/>
    <x v="8"/>
    <n v="22490"/>
    <n v="45990"/>
    <n v="0.51100000000000001"/>
    <n v="4"/>
    <n v="158"/>
    <n v="1"/>
    <b v="0"/>
    <b v="0"/>
    <b v="0"/>
    <b v="0"/>
    <d v="2026-06-05T00:00:00"/>
    <n v="632"/>
    <n v="22490"/>
    <s v="Above ₹10,000"/>
    <x v="0"/>
  </r>
  <r>
    <s v="B0F2SLWGJW"/>
    <x v="408"/>
    <x v="8"/>
    <n v="21990"/>
    <n v="30990"/>
    <n v="0.28999999999999998"/>
    <n v="4"/>
    <n v="1630"/>
    <n v="1"/>
    <b v="0"/>
    <b v="0"/>
    <b v="0"/>
    <b v="0"/>
    <d v="2026-06-05T00:00:00"/>
    <n v="6520"/>
    <n v="21990"/>
    <s v="Above ₹10,000"/>
    <x v="0"/>
  </r>
  <r>
    <s v="B0DDTR73C1"/>
    <x v="409"/>
    <x v="8"/>
    <n v="10490"/>
    <n v="13550"/>
    <n v="0.22600000000000001"/>
    <n v="4.2"/>
    <n v="437"/>
    <n v="1"/>
    <b v="0"/>
    <b v="0"/>
    <b v="0"/>
    <b v="0"/>
    <d v="2026-06-05T00:00:00"/>
    <n v="1835.4"/>
    <n v="10490"/>
    <s v="Above ₹10,000"/>
    <x v="0"/>
  </r>
  <r>
    <s v="B0GCNFRRL8"/>
    <x v="410"/>
    <x v="8"/>
    <n v="19490"/>
    <n v="26490"/>
    <n v="0.26400000000000001"/>
    <n v="4.0999999999999996"/>
    <n v="527"/>
    <n v="1"/>
    <b v="0"/>
    <b v="0"/>
    <b v="0"/>
    <b v="0"/>
    <d v="2026-06-05T00:00:00"/>
    <n v="2160.6999999999998"/>
    <n v="19490"/>
    <s v="Above ₹10,000"/>
    <x v="0"/>
  </r>
  <r>
    <s v="B0D95VC9WT"/>
    <x v="411"/>
    <x v="8"/>
    <n v="13499"/>
    <n v="17990"/>
    <n v="0.25"/>
    <n v="4.0999999999999996"/>
    <n v="289"/>
    <n v="1"/>
    <b v="0"/>
    <b v="0"/>
    <b v="0"/>
    <b v="0"/>
    <d v="2026-06-05T00:00:00"/>
    <n v="1184.8999999999999"/>
    <n v="13499"/>
    <s v="Above ₹10,000"/>
    <x v="0"/>
  </r>
  <r>
    <s v="B0F2TFK5YN"/>
    <x v="412"/>
    <x v="8"/>
    <n v="17640"/>
    <n v="40990"/>
    <n v="0.56999999999999995"/>
    <n v="4"/>
    <n v="89"/>
    <n v="1"/>
    <b v="0"/>
    <b v="0"/>
    <b v="0"/>
    <b v="0"/>
    <d v="2026-06-05T00:00:00"/>
    <n v="356"/>
    <n v="17640"/>
    <s v="Above ₹10,000"/>
    <x v="0"/>
  </r>
  <r>
    <s v="B0DFLWDPV4"/>
    <x v="413"/>
    <x v="8"/>
    <n v="30490"/>
    <n v="37090"/>
    <n v="0.17799999999999999"/>
    <n v="4.5"/>
    <n v="1289"/>
    <n v="1"/>
    <b v="0"/>
    <b v="0"/>
    <b v="0"/>
    <b v="0"/>
    <d v="2026-06-05T00:00:00"/>
    <n v="5800.5"/>
    <n v="30490"/>
    <s v="Above ₹10,000"/>
    <x v="3"/>
  </r>
  <r>
    <s v="B0FLRRMMX3"/>
    <x v="414"/>
    <x v="8"/>
    <n v="8099"/>
    <n v="19999"/>
    <n v="0.59499999999999997"/>
    <n v="4.3"/>
    <n v="465"/>
    <n v="1"/>
    <b v="0"/>
    <b v="0"/>
    <b v="0"/>
    <b v="0"/>
    <d v="2026-06-05T00:00:00"/>
    <n v="1999.5"/>
    <n v="8099"/>
    <s v="₹5,000–₹10,000"/>
    <x v="0"/>
  </r>
  <r>
    <s v="B0DRYMKCW4"/>
    <x v="415"/>
    <x v="8"/>
    <n v="40490"/>
    <n v="50990"/>
    <n v="0.20599999999999999"/>
    <n v="4.2"/>
    <n v="630"/>
    <n v="1"/>
    <b v="0"/>
    <b v="0"/>
    <b v="0"/>
    <b v="0"/>
    <d v="2026-06-05T00:00:00"/>
    <n v="2646"/>
    <n v="40490"/>
    <s v="Above ₹10,000"/>
    <x v="0"/>
  </r>
  <r>
    <s v="B0F8QV7RCR"/>
    <x v="416"/>
    <x v="8"/>
    <n v="39990"/>
    <n v="48490"/>
    <n v="0.17499999999999999"/>
    <n v="4.5999999999999996"/>
    <n v="519"/>
    <n v="1"/>
    <b v="0"/>
    <b v="0"/>
    <b v="0"/>
    <b v="0"/>
    <d v="2026-06-05T00:00:00"/>
    <n v="2387.3999999999996"/>
    <n v="39990"/>
    <s v="Above ₹10,000"/>
    <x v="3"/>
  </r>
  <r>
    <s v="B0BWN5V717"/>
    <x v="417"/>
    <x v="8"/>
    <n v="13000"/>
    <n v="15800"/>
    <n v="0.17699999999999999"/>
    <n v="4.0999999999999996"/>
    <n v="2878"/>
    <n v="1"/>
    <b v="0"/>
    <b v="0"/>
    <b v="0"/>
    <b v="0"/>
    <d v="2026-06-05T00:00:00"/>
    <n v="11799.8"/>
    <n v="13000"/>
    <s v="Above ₹10,000"/>
    <x v="0"/>
  </r>
  <r>
    <s v="B0DFLWL16S"/>
    <x v="418"/>
    <x v="8"/>
    <n v="28990"/>
    <n v="35990"/>
    <n v="0.19400000000000001"/>
    <n v="4.2"/>
    <n v="632"/>
    <n v="1"/>
    <b v="0"/>
    <b v="0"/>
    <b v="0"/>
    <b v="0"/>
    <d v="2026-06-05T00:00:00"/>
    <n v="2654.4"/>
    <n v="28990"/>
    <s v="Above ₹10,000"/>
    <x v="0"/>
  </r>
  <r>
    <s v="B0F2S2YTKP"/>
    <x v="419"/>
    <x v="8"/>
    <n v="25990"/>
    <n v="33990"/>
    <n v="0.23499999999999999"/>
    <n v="4.2"/>
    <n v="9559"/>
    <n v="1"/>
    <b v="0"/>
    <b v="0"/>
    <b v="0"/>
    <b v="0"/>
    <d v="2026-06-05T00:00:00"/>
    <n v="40147.800000000003"/>
    <n v="25990"/>
    <s v="Above ₹10,000"/>
    <x v="0"/>
  </r>
  <r>
    <s v="B0GCYNHN99"/>
    <x v="420"/>
    <x v="8"/>
    <n v="18690"/>
    <n v="21950"/>
    <n v="0.14899999999999999"/>
    <n v="4"/>
    <n v="1832"/>
    <n v="1"/>
    <b v="0"/>
    <b v="0"/>
    <b v="0"/>
    <b v="0"/>
    <d v="2026-06-05T00:00:00"/>
    <n v="7328"/>
    <n v="18690"/>
    <s v="Above ₹10,000"/>
    <x v="0"/>
  </r>
  <r>
    <s v="B0D2QWCCC2"/>
    <x v="421"/>
    <x v="8"/>
    <n v="21490"/>
    <n v="46500"/>
    <n v="0.53800000000000003"/>
    <n v="3.7"/>
    <n v="175"/>
    <n v="1"/>
    <b v="0"/>
    <b v="0"/>
    <b v="0"/>
    <b v="0"/>
    <d v="2026-06-05T00:00:00"/>
    <n v="647.5"/>
    <n v="21490"/>
    <s v="Above ₹10,000"/>
    <x v="1"/>
  </r>
  <r>
    <s v="B09FHRY2RF"/>
    <x v="422"/>
    <x v="8"/>
    <n v="18990"/>
    <n v="26490"/>
    <n v="0.28299999999999997"/>
    <n v="4.4000000000000004"/>
    <n v="1504"/>
    <n v="1"/>
    <b v="0"/>
    <b v="0"/>
    <b v="0"/>
    <b v="0"/>
    <d v="2026-06-05T00:00:00"/>
    <n v="6617.6"/>
    <n v="18990"/>
    <s v="Above ₹10,000"/>
    <x v="0"/>
  </r>
  <r>
    <s v="B0CVQJR1XL"/>
    <x v="423"/>
    <x v="8"/>
    <n v="16100"/>
    <n v="20490"/>
    <n v="0.214"/>
    <n v="4.3"/>
    <n v="1097"/>
    <n v="1"/>
    <b v="0"/>
    <b v="0"/>
    <b v="0"/>
    <b v="0"/>
    <d v="2026-06-05T00:00:00"/>
    <n v="4717.0999999999995"/>
    <n v="16100"/>
    <s v="Above ₹10,000"/>
    <x v="0"/>
  </r>
  <r>
    <s v="B08ZJHJ5DJ"/>
    <x v="424"/>
    <x v="8"/>
    <n v="15590"/>
    <n v="15990"/>
    <n v="2.5000000000000001E-2"/>
    <n v="4"/>
    <n v="817"/>
    <n v="1"/>
    <b v="0"/>
    <b v="0"/>
    <b v="0"/>
    <b v="0"/>
    <d v="2026-06-05T00:00:00"/>
    <n v="3268"/>
    <n v="15590"/>
    <s v="Above ₹10,000"/>
    <x v="0"/>
  </r>
  <r>
    <s v="B0BV2RJV1B"/>
    <x v="425"/>
    <x v="8"/>
    <n v="15790"/>
    <n v="20400"/>
    <n v="0.22600000000000001"/>
    <n v="4.3"/>
    <n v="2536"/>
    <n v="1"/>
    <b v="0"/>
    <b v="0"/>
    <b v="0"/>
    <b v="0"/>
    <d v="2026-06-05T00:00:00"/>
    <n v="10904.8"/>
    <n v="15790"/>
    <s v="Above ₹10,000"/>
    <x v="0"/>
  </r>
  <r>
    <s v="B0D8HX97BY"/>
    <x v="426"/>
    <x v="8"/>
    <n v="44899"/>
    <m/>
    <m/>
    <n v="4.5"/>
    <n v="1963"/>
    <n v="2"/>
    <b v="0"/>
    <b v="0"/>
    <b v="0"/>
    <b v="0"/>
    <d v="2026-06-05T00:00:00"/>
    <n v="8833.5"/>
    <n v="44899"/>
    <s v="Above ₹10,000"/>
    <x v="3"/>
  </r>
  <r>
    <s v="B0F43WXDG9"/>
    <x v="427"/>
    <x v="8"/>
    <n v="26950"/>
    <n v="35500"/>
    <n v="0.24099999999999999"/>
    <n v="4"/>
    <n v="2892"/>
    <n v="1"/>
    <b v="0"/>
    <b v="0"/>
    <b v="0"/>
    <b v="0"/>
    <d v="2026-06-05T00:00:00"/>
    <n v="11568"/>
    <n v="26950"/>
    <s v="Above ₹10,000"/>
    <x v="0"/>
  </r>
  <r>
    <s v="B0GMD5NPX6"/>
    <x v="428"/>
    <x v="9"/>
    <n v="32950"/>
    <n v="45300"/>
    <n v="0.27300000000000002"/>
    <n v="3.1"/>
    <n v="55"/>
    <n v="4"/>
    <b v="0"/>
    <b v="0"/>
    <b v="0"/>
    <b v="0"/>
    <d v="2026-06-05T00:00:00"/>
    <n v="170.5"/>
    <n v="32950"/>
    <s v="Above ₹10,000"/>
    <x v="1"/>
  </r>
  <r>
    <s v="B0GN37XP19"/>
    <x v="429"/>
    <x v="9"/>
    <n v="26990"/>
    <n v="43900"/>
    <n v="0.38500000000000001"/>
    <n v="4.0999999999999996"/>
    <n v="174"/>
    <n v="1"/>
    <b v="0"/>
    <b v="0"/>
    <b v="0"/>
    <b v="0"/>
    <d v="2026-06-05T00:00:00"/>
    <n v="713.4"/>
    <n v="26990"/>
    <s v="Above ₹10,000"/>
    <x v="0"/>
  </r>
  <r>
    <s v="B0H2Z54Y5T"/>
    <x v="430"/>
    <x v="9"/>
    <n v="34999"/>
    <m/>
    <m/>
    <m/>
    <n v="0"/>
    <n v="1"/>
    <b v="0"/>
    <b v="0"/>
    <b v="0"/>
    <b v="0"/>
    <d v="2026-06-05T00:00:00"/>
    <s v=""/>
    <n v="34999"/>
    <s v="Above ₹10,000"/>
    <x v="4"/>
  </r>
  <r>
    <s v="B0GHFS8GMH"/>
    <x v="431"/>
    <x v="9"/>
    <n v="29990"/>
    <n v="47900"/>
    <n v="0.374"/>
    <n v="3.7"/>
    <n v="171"/>
    <n v="1"/>
    <b v="0"/>
    <b v="0"/>
    <b v="0"/>
    <b v="0"/>
    <d v="2026-06-05T00:00:00"/>
    <n v="632.70000000000005"/>
    <n v="29990"/>
    <s v="Above ₹10,000"/>
    <x v="1"/>
  </r>
  <r>
    <s v="B0CWVDXYX1"/>
    <x v="432"/>
    <x v="9"/>
    <n v="31490"/>
    <n v="62990"/>
    <n v="0.5"/>
    <n v="3.5"/>
    <n v="2493"/>
    <n v="1"/>
    <b v="0"/>
    <b v="0"/>
    <b v="0"/>
    <b v="0"/>
    <d v="2026-06-05T00:00:00"/>
    <n v="8725.5"/>
    <n v="31490"/>
    <s v="Above ₹10,000"/>
    <x v="1"/>
  </r>
  <r>
    <s v="B0GHQVN35Z"/>
    <x v="433"/>
    <x v="9"/>
    <n v="32490"/>
    <n v="57150"/>
    <n v="0.43099999999999999"/>
    <n v="3.1"/>
    <n v="112"/>
    <n v="2"/>
    <b v="0"/>
    <b v="0"/>
    <b v="0"/>
    <b v="0"/>
    <d v="2026-06-05T00:00:00"/>
    <n v="347.2"/>
    <n v="32490"/>
    <s v="Above ₹10,000"/>
    <x v="1"/>
  </r>
  <r>
    <s v="B0GSJV6XTF"/>
    <x v="434"/>
    <x v="9"/>
    <n v="30980"/>
    <n v="50990"/>
    <n v="0.39200000000000002"/>
    <n v="4.2"/>
    <n v="101"/>
    <n v="4"/>
    <b v="0"/>
    <b v="0"/>
    <b v="0"/>
    <b v="0"/>
    <d v="2026-06-05T00:00:00"/>
    <n v="424.20000000000005"/>
    <n v="30980"/>
    <s v="Above ₹10,000"/>
    <x v="0"/>
  </r>
  <r>
    <s v="B0F2J56GZR"/>
    <x v="435"/>
    <x v="9"/>
    <n v="39700"/>
    <m/>
    <m/>
    <n v="4.3"/>
    <n v="135"/>
    <n v="1"/>
    <b v="0"/>
    <b v="0"/>
    <b v="0"/>
    <b v="0"/>
    <d v="2026-06-05T00:00:00"/>
    <n v="580.5"/>
    <n v="39700"/>
    <s v="Above ₹10,000"/>
    <x v="0"/>
  </r>
  <r>
    <s v="B0GVJ3PXPG"/>
    <x v="436"/>
    <x v="9"/>
    <n v="42490"/>
    <n v="76490"/>
    <n v="0.44500000000000001"/>
    <n v="4.3"/>
    <n v="264"/>
    <n v="1"/>
    <b v="0"/>
    <b v="0"/>
    <b v="1"/>
    <b v="0"/>
    <d v="2026-06-05T00:00:00"/>
    <n v="1135.2"/>
    <n v="42490"/>
    <s v="Above ₹10,000"/>
    <x v="0"/>
  </r>
  <r>
    <s v="B0D184ZZDL"/>
    <x v="437"/>
    <x v="9"/>
    <n v="28990"/>
    <m/>
    <m/>
    <n v="3.2"/>
    <n v="143"/>
    <n v="1"/>
    <b v="0"/>
    <b v="0"/>
    <b v="0"/>
    <b v="0"/>
    <d v="2026-06-05T00:00:00"/>
    <n v="457.6"/>
    <n v="28990"/>
    <s v="Above ₹10,000"/>
    <x v="1"/>
  </r>
  <r>
    <s v="B0GX6XHZ3S"/>
    <x v="438"/>
    <x v="9"/>
    <n v="39390"/>
    <n v="44400"/>
    <n v="0.113"/>
    <n v="4.3"/>
    <n v="9"/>
    <n v="1"/>
    <b v="0"/>
    <b v="0"/>
    <b v="0"/>
    <b v="0"/>
    <d v="2026-06-05T00:00:00"/>
    <n v="38.699999999999996"/>
    <n v="39390"/>
    <s v="Above ₹10,000"/>
    <x v="0"/>
  </r>
  <r>
    <s v="B0DQTBQV3C"/>
    <x v="439"/>
    <x v="9"/>
    <n v="34880"/>
    <n v="63850"/>
    <n v="0.45400000000000001"/>
    <n v="3.9"/>
    <n v="1203"/>
    <n v="5"/>
    <b v="0"/>
    <b v="0"/>
    <b v="0"/>
    <b v="0"/>
    <d v="2026-06-05T00:00:00"/>
    <n v="4691.7"/>
    <n v="34880"/>
    <s v="Above ₹10,000"/>
    <x v="1"/>
  </r>
  <r>
    <s v="B0GVJ3WB54"/>
    <x v="440"/>
    <x v="9"/>
    <n v="36300"/>
    <n v="61490"/>
    <n v="0.41"/>
    <n v="4.3"/>
    <n v="32"/>
    <n v="1"/>
    <b v="0"/>
    <b v="0"/>
    <b v="0"/>
    <b v="0"/>
    <d v="2026-06-05T00:00:00"/>
    <n v="137.6"/>
    <n v="36300"/>
    <s v="Above ₹10,000"/>
    <x v="0"/>
  </r>
  <r>
    <s v="B0GP6S6S5F"/>
    <x v="441"/>
    <x v="9"/>
    <n v="36999"/>
    <n v="65990"/>
    <n v="0.439"/>
    <n v="3.8"/>
    <n v="52"/>
    <n v="1"/>
    <b v="0"/>
    <b v="0"/>
    <b v="0"/>
    <b v="0"/>
    <d v="2026-06-05T00:00:00"/>
    <n v="197.6"/>
    <n v="36999"/>
    <s v="Above ₹10,000"/>
    <x v="1"/>
  </r>
  <r>
    <s v="B0GSZWGHM3"/>
    <x v="442"/>
    <x v="9"/>
    <n v="34990"/>
    <n v="47990"/>
    <n v="0.27100000000000002"/>
    <n v="3.6"/>
    <n v="42"/>
    <n v="1"/>
    <b v="0"/>
    <b v="0"/>
    <b v="0"/>
    <b v="0"/>
    <d v="2026-06-05T00:00:00"/>
    <n v="151.20000000000002"/>
    <n v="34990"/>
    <s v="Above ₹10,000"/>
    <x v="1"/>
  </r>
  <r>
    <s v="B0GWMMD2DT"/>
    <x v="443"/>
    <x v="9"/>
    <n v="48490"/>
    <n v="83290"/>
    <n v="0.41799999999999998"/>
    <n v="4.0999999999999996"/>
    <n v="788"/>
    <n v="1"/>
    <b v="0"/>
    <b v="0"/>
    <b v="0"/>
    <b v="0"/>
    <d v="2026-06-05T00:00:00"/>
    <n v="3230.7999999999997"/>
    <n v="48490"/>
    <s v="Above ₹10,000"/>
    <x v="0"/>
  </r>
  <r>
    <s v="B0GMDS7CY7"/>
    <x v="444"/>
    <x v="9"/>
    <n v="33989"/>
    <n v="49090"/>
    <n v="0.308"/>
    <n v="3.9"/>
    <n v="607"/>
    <n v="1"/>
    <b v="0"/>
    <b v="0"/>
    <b v="0"/>
    <b v="0"/>
    <d v="2026-06-05T00:00:00"/>
    <n v="2367.2999999999997"/>
    <n v="33989"/>
    <s v="Above ₹10,000"/>
    <x v="1"/>
  </r>
  <r>
    <s v="B0GXWCJ7JQ"/>
    <x v="445"/>
    <x v="9"/>
    <n v="31490"/>
    <n v="32400"/>
    <n v="2.8000000000000001E-2"/>
    <n v="4"/>
    <n v="1"/>
    <n v="1"/>
    <b v="0"/>
    <b v="0"/>
    <b v="0"/>
    <b v="0"/>
    <d v="2026-06-05T00:00:00"/>
    <n v="4"/>
    <n v="31490"/>
    <s v="Above ₹10,000"/>
    <x v="0"/>
  </r>
  <r>
    <s v="B0GQ4VYGH7"/>
    <x v="446"/>
    <x v="9"/>
    <n v="6735"/>
    <n v="12796"/>
    <n v="0.47399999999999998"/>
    <n v="2.5"/>
    <n v="3"/>
    <n v="2"/>
    <b v="0"/>
    <b v="0"/>
    <b v="0"/>
    <b v="0"/>
    <d v="2026-06-05T00:00:00"/>
    <n v="7.5"/>
    <n v="6735"/>
    <s v="₹5,000–₹10,000"/>
    <x v="2"/>
  </r>
  <r>
    <s v="B0GN1PXL63"/>
    <x v="447"/>
    <x v="9"/>
    <n v="31990"/>
    <m/>
    <m/>
    <n v="3.5"/>
    <n v="146"/>
    <n v="1"/>
    <b v="0"/>
    <b v="0"/>
    <b v="0"/>
    <b v="0"/>
    <d v="2026-06-05T00:00:00"/>
    <n v="511"/>
    <n v="31990"/>
    <s v="Above ₹10,000"/>
    <x v="1"/>
  </r>
  <r>
    <s v="B0GHFLZQ21"/>
    <x v="448"/>
    <x v="9"/>
    <n v="36989"/>
    <n v="60900"/>
    <n v="0.39300000000000002"/>
    <n v="3.7"/>
    <n v="11"/>
    <n v="1"/>
    <b v="0"/>
    <b v="0"/>
    <b v="0"/>
    <b v="0"/>
    <d v="2026-06-05T00:00:00"/>
    <n v="40.700000000000003"/>
    <n v="36989"/>
    <s v="Above ₹10,000"/>
    <x v="1"/>
  </r>
  <r>
    <s v="B0BK1KS6ZD"/>
    <x v="449"/>
    <x v="9"/>
    <n v="38990"/>
    <n v="67900"/>
    <n v="0.42599999999999999"/>
    <n v="4.0999999999999996"/>
    <n v="4698"/>
    <n v="1"/>
    <b v="0"/>
    <b v="0"/>
    <b v="0"/>
    <b v="0"/>
    <d v="2026-06-05T00:00:00"/>
    <n v="19261.8"/>
    <n v="38990"/>
    <s v="Above ₹10,000"/>
    <x v="0"/>
  </r>
  <r>
    <s v="B0GT12VHZB"/>
    <x v="450"/>
    <x v="9"/>
    <n v="27981"/>
    <n v="32990"/>
    <n v="0.152"/>
    <n v="3.4"/>
    <n v="18"/>
    <n v="1"/>
    <b v="0"/>
    <b v="0"/>
    <b v="0"/>
    <b v="0"/>
    <d v="2026-06-05T00:00:00"/>
    <n v="61.199999999999996"/>
    <n v="27981"/>
    <s v="Above ₹10,000"/>
    <x v="1"/>
  </r>
  <r>
    <s v="B0GLG57PWF"/>
    <x v="451"/>
    <x v="9"/>
    <n v="5686"/>
    <n v="12167"/>
    <n v="0.53300000000000003"/>
    <m/>
    <n v="0"/>
    <n v="1"/>
    <b v="0"/>
    <b v="0"/>
    <b v="0"/>
    <b v="0"/>
    <d v="2026-06-05T00:00:00"/>
    <s v=""/>
    <n v="5686"/>
    <s v="₹5,000–₹10,000"/>
    <x v="4"/>
  </r>
  <r>
    <s v="B0GDZVGC9W"/>
    <x v="452"/>
    <x v="9"/>
    <n v="37490"/>
    <n v="68990"/>
    <n v="0.45700000000000002"/>
    <n v="4"/>
    <n v="2065"/>
    <n v="1"/>
    <b v="0"/>
    <b v="0"/>
    <b v="0"/>
    <b v="0"/>
    <d v="2026-06-05T00:00:00"/>
    <n v="8260"/>
    <n v="37490"/>
    <s v="Above ₹10,000"/>
    <x v="0"/>
  </r>
  <r>
    <s v="B0F6VQ2XV6"/>
    <x v="453"/>
    <x v="9"/>
    <n v="24990"/>
    <n v="27999"/>
    <n v="0.107"/>
    <n v="3.3"/>
    <n v="16"/>
    <n v="1"/>
    <b v="0"/>
    <b v="0"/>
    <b v="0"/>
    <b v="0"/>
    <d v="2026-06-05T00:00:00"/>
    <n v="52.8"/>
    <n v="24990"/>
    <s v="Above ₹10,000"/>
    <x v="1"/>
  </r>
  <r>
    <s v="B0GLPT7LPG"/>
    <x v="454"/>
    <x v="9"/>
    <m/>
    <m/>
    <m/>
    <n v="3.2"/>
    <n v="21"/>
    <n v="1"/>
    <b v="0"/>
    <b v="0"/>
    <b v="0"/>
    <b v="0"/>
    <d v="2026-06-05T00:00:00"/>
    <n v="67.2"/>
    <m/>
    <s v=" "/>
    <x v="1"/>
  </r>
  <r>
    <s v="B0DSJ9FQLD"/>
    <x v="455"/>
    <x v="9"/>
    <n v="32100"/>
    <n v="57660"/>
    <n v="0.443"/>
    <n v="3.3"/>
    <n v="630"/>
    <n v="1"/>
    <b v="0"/>
    <b v="0"/>
    <b v="0"/>
    <b v="0"/>
    <d v="2026-06-05T00:00:00"/>
    <n v="2079"/>
    <n v="32100"/>
    <s v="Above ₹10,000"/>
    <x v="1"/>
  </r>
  <r>
    <s v="B0GMYF4SNM"/>
    <x v="456"/>
    <x v="9"/>
    <n v="47490"/>
    <n v="75000"/>
    <n v="0.36699999999999999"/>
    <n v="4.2"/>
    <n v="19"/>
    <n v="1"/>
    <b v="0"/>
    <b v="0"/>
    <b v="0"/>
    <b v="0"/>
    <d v="2026-06-05T00:00:00"/>
    <n v="79.8"/>
    <n v="47490"/>
    <s v="Above ₹10,000"/>
    <x v="0"/>
  </r>
  <r>
    <s v="B0GRTMHWLD"/>
    <x v="457"/>
    <x v="9"/>
    <n v="27940"/>
    <m/>
    <m/>
    <n v="3.7"/>
    <n v="29"/>
    <n v="1"/>
    <b v="0"/>
    <b v="0"/>
    <b v="0"/>
    <b v="0"/>
    <d v="2026-06-05T00:00:00"/>
    <n v="107.30000000000001"/>
    <n v="27940"/>
    <s v="Above ₹10,000"/>
    <x v="1"/>
  </r>
  <r>
    <s v="B0GHYMPNZ9"/>
    <x v="458"/>
    <x v="9"/>
    <n v="33490"/>
    <n v="67990"/>
    <n v="0.50700000000000001"/>
    <n v="4.0999999999999996"/>
    <n v="96"/>
    <n v="1"/>
    <b v="0"/>
    <b v="0"/>
    <b v="0"/>
    <b v="0"/>
    <d v="2026-06-05T00:00:00"/>
    <n v="393.59999999999997"/>
    <n v="33490"/>
    <s v="Above ₹10,000"/>
    <x v="0"/>
  </r>
  <r>
    <s v="B0DR2YG4FF"/>
    <x v="459"/>
    <x v="9"/>
    <n v="26490"/>
    <m/>
    <m/>
    <n v="3.4"/>
    <n v="443"/>
    <n v="1"/>
    <b v="0"/>
    <b v="0"/>
    <b v="0"/>
    <b v="0"/>
    <d v="2026-06-05T00:00:00"/>
    <n v="1506.2"/>
    <n v="26490"/>
    <s v="Above ₹10,000"/>
    <x v="1"/>
  </r>
  <r>
    <s v="B0GPWXCGV1"/>
    <x v="460"/>
    <x v="9"/>
    <n v="33490"/>
    <n v="48500"/>
    <n v="0.309"/>
    <n v="3.8"/>
    <n v="56"/>
    <n v="1"/>
    <b v="0"/>
    <b v="0"/>
    <b v="0"/>
    <b v="0"/>
    <d v="2026-06-05T00:00:00"/>
    <n v="212.79999999999998"/>
    <n v="33490"/>
    <s v="Above ₹10,000"/>
    <x v="1"/>
  </r>
  <r>
    <s v="B0DSJ9J3PY"/>
    <x v="461"/>
    <x v="9"/>
    <n v="36950"/>
    <n v="75000"/>
    <n v="0.50700000000000001"/>
    <n v="3.5"/>
    <n v="877"/>
    <n v="1"/>
    <b v="0"/>
    <b v="0"/>
    <b v="0"/>
    <b v="0"/>
    <d v="2026-06-05T00:00:00"/>
    <n v="3069.5"/>
    <n v="36950"/>
    <s v="Above ₹10,000"/>
    <x v="1"/>
  </r>
  <r>
    <s v="B0GHR4CZK4"/>
    <x v="462"/>
    <x v="9"/>
    <n v="39289"/>
    <n v="60990"/>
    <n v="0.35599999999999998"/>
    <n v="4.4000000000000004"/>
    <n v="16"/>
    <n v="1"/>
    <b v="0"/>
    <b v="0"/>
    <b v="0"/>
    <b v="0"/>
    <d v="2026-06-05T00:00:00"/>
    <n v="70.400000000000006"/>
    <n v="39289"/>
    <s v="Above ₹10,000"/>
    <x v="0"/>
  </r>
  <r>
    <s v="B0CWVDN3HZ"/>
    <x v="463"/>
    <x v="9"/>
    <n v="39990"/>
    <n v="83999"/>
    <n v="0.52400000000000002"/>
    <n v="3.7"/>
    <n v="1050"/>
    <n v="1"/>
    <b v="0"/>
    <b v="0"/>
    <b v="0"/>
    <b v="0"/>
    <d v="2026-06-05T00:00:00"/>
    <n v="3885"/>
    <n v="39990"/>
    <s v="Above ₹10,000"/>
    <x v="1"/>
  </r>
  <r>
    <s v="B0CDHBG4TT"/>
    <x v="464"/>
    <x v="9"/>
    <n v="37400"/>
    <m/>
    <m/>
    <n v="4.0999999999999996"/>
    <n v="85"/>
    <n v="1"/>
    <b v="0"/>
    <b v="0"/>
    <b v="0"/>
    <b v="0"/>
    <d v="2026-06-05T00:00:00"/>
    <n v="348.49999999999994"/>
    <n v="37400"/>
    <s v="Above ₹10,000"/>
    <x v="0"/>
  </r>
  <r>
    <s v="B0GCDZ3BSK"/>
    <x v="465"/>
    <x v="9"/>
    <n v="45990"/>
    <n v="75590"/>
    <n v="0.39200000000000002"/>
    <n v="4"/>
    <n v="131"/>
    <n v="1"/>
    <b v="0"/>
    <b v="0"/>
    <b v="0"/>
    <b v="0"/>
    <d v="2026-06-05T00:00:00"/>
    <n v="524"/>
    <n v="45990"/>
    <s v="Above ₹10,000"/>
    <x v="0"/>
  </r>
  <r>
    <s v="B0GHQTWCZ6"/>
    <x v="466"/>
    <x v="9"/>
    <n v="61989"/>
    <n v="79500"/>
    <n v="0.22"/>
    <n v="3.8"/>
    <n v="26"/>
    <n v="1"/>
    <b v="0"/>
    <b v="0"/>
    <b v="0"/>
    <b v="0"/>
    <d v="2026-06-05T00:00:00"/>
    <n v="98.8"/>
    <n v="61989"/>
    <s v="Above ₹10,000"/>
    <x v="1"/>
  </r>
  <r>
    <s v="B0GP736CV2"/>
    <x v="467"/>
    <x v="9"/>
    <n v="45999"/>
    <n v="80990"/>
    <n v="0.432"/>
    <n v="3.6"/>
    <n v="29"/>
    <n v="1"/>
    <b v="0"/>
    <b v="0"/>
    <b v="0"/>
    <b v="0"/>
    <d v="2026-06-05T00:00:00"/>
    <n v="104.4"/>
    <n v="45999"/>
    <s v="Above ₹10,000"/>
    <x v="1"/>
  </r>
  <r>
    <s v="B0GNZ9J864"/>
    <x v="468"/>
    <x v="9"/>
    <n v="48490"/>
    <n v="87990"/>
    <n v="0.44900000000000001"/>
    <n v="3.8"/>
    <n v="16"/>
    <n v="2"/>
    <b v="0"/>
    <b v="0"/>
    <b v="0"/>
    <b v="0"/>
    <d v="2026-06-05T00:00:00"/>
    <n v="60.8"/>
    <n v="48490"/>
    <s v="Above ₹10,000"/>
    <x v="1"/>
  </r>
  <r>
    <s v="B0GSJLWC8B"/>
    <x v="469"/>
    <x v="9"/>
    <n v="42990"/>
    <n v="74990"/>
    <n v="0.42699999999999999"/>
    <n v="4.0999999999999996"/>
    <n v="38"/>
    <n v="2"/>
    <b v="0"/>
    <b v="0"/>
    <b v="0"/>
    <b v="0"/>
    <d v="2026-06-05T00:00:00"/>
    <n v="155.79999999999998"/>
    <n v="42990"/>
    <s v="Above ₹10,000"/>
    <x v="0"/>
  </r>
  <r>
    <s v="B0GCDHG1FX"/>
    <x v="470"/>
    <x v="9"/>
    <n v="58989"/>
    <n v="91690"/>
    <n v="0.35699999999999998"/>
    <n v="4"/>
    <n v="85"/>
    <n v="1"/>
    <b v="0"/>
    <b v="0"/>
    <b v="0"/>
    <b v="0"/>
    <d v="2026-06-05T00:00:00"/>
    <n v="340"/>
    <n v="58989"/>
    <s v="Above ₹10,000"/>
    <x v="0"/>
  </r>
  <r>
    <s v="B0DQTDJ5MD"/>
    <x v="471"/>
    <x v="9"/>
    <n v="44690"/>
    <m/>
    <m/>
    <n v="4"/>
    <n v="775"/>
    <n v="3"/>
    <b v="0"/>
    <b v="0"/>
    <b v="0"/>
    <b v="0"/>
    <d v="2026-06-05T00:00:00"/>
    <n v="3100"/>
    <n v="44690"/>
    <s v="Above ₹10,000"/>
    <x v="0"/>
  </r>
  <r>
    <s v="B0G9SR834W"/>
    <x v="472"/>
    <x v="9"/>
    <n v="35490"/>
    <n v="78990"/>
    <n v="0.55100000000000005"/>
    <n v="3.7"/>
    <n v="1830"/>
    <n v="1"/>
    <b v="0"/>
    <b v="0"/>
    <b v="0"/>
    <b v="0"/>
    <d v="2026-06-05T00:00:00"/>
    <n v="6771"/>
    <n v="35490"/>
    <s v="Above ₹10,000"/>
    <x v="1"/>
  </r>
  <r>
    <s v="B0GS286N2M"/>
    <x v="473"/>
    <x v="9"/>
    <n v="48950"/>
    <n v="84990"/>
    <n v="0.42399999999999999"/>
    <n v="4.4000000000000004"/>
    <n v="23"/>
    <n v="8"/>
    <b v="0"/>
    <b v="0"/>
    <b v="0"/>
    <b v="0"/>
    <d v="2026-06-05T00:00:00"/>
    <n v="101.2"/>
    <n v="48950"/>
    <s v="Above ₹10,000"/>
    <x v="0"/>
  </r>
  <r>
    <s v="B0GKMP6VYS"/>
    <x v="474"/>
    <x v="9"/>
    <n v="43990"/>
    <n v="66990"/>
    <n v="0.34300000000000003"/>
    <n v="3.1"/>
    <n v="26"/>
    <n v="1"/>
    <b v="0"/>
    <b v="0"/>
    <b v="0"/>
    <b v="0"/>
    <d v="2026-06-05T00:00:00"/>
    <n v="80.600000000000009"/>
    <n v="43990"/>
    <s v="Above ₹10,000"/>
    <x v="1"/>
  </r>
  <r>
    <s v="B0GYT9CTX1"/>
    <x v="475"/>
    <x v="9"/>
    <n v="42690"/>
    <n v="82390"/>
    <n v="0.48199999999999998"/>
    <m/>
    <n v="0"/>
    <n v="1"/>
    <b v="0"/>
    <b v="0"/>
    <b v="0"/>
    <b v="0"/>
    <d v="2026-06-05T00:00:00"/>
    <s v=""/>
    <n v="42690"/>
    <s v="Above ₹10,000"/>
    <x v="4"/>
  </r>
  <r>
    <s v="B0H1S4RH9H"/>
    <x v="476"/>
    <x v="10"/>
    <n v="599"/>
    <n v="1299"/>
    <n v="0.53900000000000003"/>
    <n v="3"/>
    <n v="2"/>
    <n v="1"/>
    <b v="0"/>
    <b v="0"/>
    <b v="0"/>
    <b v="0"/>
    <d v="2026-06-05T00:00:00"/>
    <n v="6"/>
    <n v="599"/>
    <s v="₹500–₹1,000"/>
    <x v="1"/>
  </r>
  <r>
    <s v="B0DQY9DPXR"/>
    <x v="477"/>
    <x v="10"/>
    <n v="611"/>
    <n v="999"/>
    <n v="0.38800000000000001"/>
    <n v="3.6"/>
    <n v="915"/>
    <n v="1"/>
    <b v="0"/>
    <b v="0"/>
    <b v="0"/>
    <b v="0"/>
    <d v="2026-06-05T00:00:00"/>
    <n v="3294"/>
    <n v="611"/>
    <s v="₹500–₹1,000"/>
    <x v="1"/>
  </r>
  <r>
    <s v="B0F2GBXRYQ"/>
    <x v="478"/>
    <x v="10"/>
    <n v="2499"/>
    <n v="4995"/>
    <n v="0.5"/>
    <n v="4.2"/>
    <n v="217"/>
    <n v="1"/>
    <b v="0"/>
    <b v="0"/>
    <b v="1"/>
    <b v="0"/>
    <d v="2026-06-05T00:00:00"/>
    <n v="911.40000000000009"/>
    <n v="2499"/>
    <s v="₹1,000–₹5,000"/>
    <x v="0"/>
  </r>
  <r>
    <s v="B0BWK7KGNF"/>
    <x v="479"/>
    <x v="10"/>
    <n v="749"/>
    <n v="2999"/>
    <n v="0.75"/>
    <n v="3"/>
    <n v="1080"/>
    <n v="1"/>
    <b v="0"/>
    <b v="0"/>
    <b v="0"/>
    <b v="0"/>
    <d v="2026-06-05T00:00:00"/>
    <n v="3240"/>
    <n v="749"/>
    <s v="₹500–₹1,000"/>
    <x v="1"/>
  </r>
  <r>
    <s v="B0G1C2TGWX"/>
    <x v="480"/>
    <x v="10"/>
    <n v="567"/>
    <n v="1399"/>
    <n v="0.59499999999999997"/>
    <n v="3.8"/>
    <n v="316"/>
    <n v="1"/>
    <b v="0"/>
    <b v="0"/>
    <b v="0"/>
    <b v="0"/>
    <d v="2026-06-05T00:00:00"/>
    <n v="1200.8"/>
    <n v="567"/>
    <s v="₹500–₹1,000"/>
    <x v="1"/>
  </r>
  <r>
    <s v="B0FNRV6X18"/>
    <x v="481"/>
    <x v="10"/>
    <n v="1999"/>
    <n v="2700"/>
    <n v="0.26"/>
    <n v="3.7"/>
    <n v="15051"/>
    <n v="1"/>
    <b v="0"/>
    <b v="0"/>
    <b v="0"/>
    <b v="1"/>
    <d v="2026-06-05T00:00:00"/>
    <n v="55688.700000000004"/>
    <n v="1999"/>
    <s v="₹1,000–₹5,000"/>
    <x v="1"/>
  </r>
  <r>
    <s v="B0GLGLRD9Z"/>
    <x v="482"/>
    <x v="10"/>
    <n v="1599"/>
    <n v="2799"/>
    <n v="0.42899999999999999"/>
    <n v="4.2"/>
    <n v="2585"/>
    <n v="1"/>
    <b v="0"/>
    <b v="0"/>
    <b v="0"/>
    <b v="0"/>
    <d v="2026-06-05T00:00:00"/>
    <n v="10857"/>
    <n v="1599"/>
    <s v="₹1,000–₹5,000"/>
    <x v="0"/>
  </r>
  <r>
    <s v="B0FL2P622N"/>
    <x v="483"/>
    <x v="10"/>
    <n v="2199"/>
    <n v="2800"/>
    <n v="0.215"/>
    <n v="3.8"/>
    <n v="294"/>
    <n v="1"/>
    <b v="0"/>
    <b v="0"/>
    <b v="0"/>
    <b v="1"/>
    <d v="2026-06-05T00:00:00"/>
    <n v="1117.2"/>
    <n v="2199"/>
    <s v="₹1,000–₹5,000"/>
    <x v="1"/>
  </r>
  <r>
    <s v="B0GZV2SYGM"/>
    <x v="484"/>
    <x v="10"/>
    <n v="1879"/>
    <n v="8999"/>
    <n v="0.79100000000000004"/>
    <n v="2.7"/>
    <n v="4"/>
    <n v="1"/>
    <b v="0"/>
    <b v="0"/>
    <b v="0"/>
    <b v="0"/>
    <d v="2026-06-05T00:00:00"/>
    <n v="10.8"/>
    <n v="1879"/>
    <s v="₹1,000–₹5,000"/>
    <x v="2"/>
  </r>
  <r>
    <s v="B0G64G64YL"/>
    <x v="485"/>
    <x v="10"/>
    <n v="2490"/>
    <n v="3990"/>
    <n v="0.376"/>
    <n v="3.8"/>
    <n v="3495"/>
    <n v="1"/>
    <b v="0"/>
    <b v="0"/>
    <b v="0"/>
    <b v="0"/>
    <d v="2026-06-05T00:00:00"/>
    <n v="13281"/>
    <n v="2490"/>
    <s v="₹1,000–₹5,000"/>
    <x v="1"/>
  </r>
  <r>
    <s v="B0GNKW2XT6"/>
    <x v="486"/>
    <x v="10"/>
    <n v="499"/>
    <n v="1999"/>
    <n v="0.75"/>
    <n v="3.9"/>
    <n v="12"/>
    <n v="1"/>
    <b v="0"/>
    <b v="0"/>
    <b v="0"/>
    <b v="0"/>
    <d v="2026-06-05T00:00:00"/>
    <n v="46.8"/>
    <n v="499"/>
    <s v="Under ₹500"/>
    <x v="1"/>
  </r>
  <r>
    <s v="B0FH5G1Z7P"/>
    <x v="487"/>
    <x v="10"/>
    <n v="923"/>
    <n v="3400"/>
    <n v="0.72899999999999998"/>
    <n v="3.9"/>
    <n v="280"/>
    <n v="15"/>
    <b v="0"/>
    <b v="0"/>
    <b v="0"/>
    <b v="0"/>
    <d v="2026-06-05T00:00:00"/>
    <n v="1092"/>
    <n v="923"/>
    <s v="₹500–₹1,000"/>
    <x v="1"/>
  </r>
  <r>
    <s v="B0GLGSTCDP"/>
    <x v="488"/>
    <x v="10"/>
    <n v="1989"/>
    <n v="3999"/>
    <n v="0.503"/>
    <n v="4.5999999999999996"/>
    <n v="14"/>
    <n v="1"/>
    <b v="0"/>
    <b v="0"/>
    <b v="0"/>
    <b v="0"/>
    <d v="2026-06-05T00:00:00"/>
    <n v="64.399999999999991"/>
    <n v="1989"/>
    <s v="₹1,000–₹5,000"/>
    <x v="3"/>
  </r>
  <r>
    <s v="B0C8HCLQVC"/>
    <x v="489"/>
    <x v="10"/>
    <n v="42990"/>
    <n v="64995"/>
    <n v="0.33900000000000002"/>
    <n v="4"/>
    <n v="100"/>
    <n v="1"/>
    <b v="0"/>
    <b v="0"/>
    <b v="0"/>
    <b v="0"/>
    <d v="2026-06-05T00:00:00"/>
    <n v="400"/>
    <n v="42990"/>
    <s v="Above ₹10,000"/>
    <x v="0"/>
  </r>
  <r>
    <s v="B0C783YNW7"/>
    <x v="490"/>
    <x v="10"/>
    <n v="24990"/>
    <n v="44999"/>
    <n v="0.44500000000000001"/>
    <n v="4.5999999999999996"/>
    <n v="4487"/>
    <n v="1"/>
    <b v="0"/>
    <b v="0"/>
    <b v="0"/>
    <b v="0"/>
    <d v="2026-06-05T00:00:00"/>
    <n v="20640.199999999997"/>
    <n v="24990"/>
    <s v="Above ₹10,000"/>
    <x v="3"/>
  </r>
  <r>
    <s v="B0CHZ1HF2Q"/>
    <x v="491"/>
    <x v="10"/>
    <n v="548"/>
    <n v="1999"/>
    <n v="0.72599999999999998"/>
    <n v="3.4"/>
    <n v="372"/>
    <n v="1"/>
    <b v="0"/>
    <b v="0"/>
    <b v="0"/>
    <b v="0"/>
    <d v="2026-06-05T00:00:00"/>
    <n v="1264.8"/>
    <n v="548"/>
    <s v="₹500–₹1,000"/>
    <x v="1"/>
  </r>
  <r>
    <s v="B0FH5H1144"/>
    <x v="492"/>
    <x v="10"/>
    <n v="919"/>
    <n v="1900"/>
    <n v="0.51600000000000001"/>
    <n v="3.8"/>
    <n v="258"/>
    <n v="1"/>
    <b v="0"/>
    <b v="0"/>
    <b v="0"/>
    <b v="0"/>
    <d v="2026-06-05T00:00:00"/>
    <n v="980.4"/>
    <n v="919"/>
    <s v="₹500–₹1,000"/>
    <x v="1"/>
  </r>
  <r>
    <s v="B0FMRJZT33"/>
    <x v="493"/>
    <x v="10"/>
    <n v="2699"/>
    <n v="4600"/>
    <n v="0.41299999999999998"/>
    <n v="3.4"/>
    <n v="252"/>
    <n v="1"/>
    <b v="0"/>
    <b v="0"/>
    <b v="0"/>
    <b v="1"/>
    <d v="2026-06-05T00:00:00"/>
    <n v="856.8"/>
    <n v="2699"/>
    <s v="₹1,000–₹5,000"/>
    <x v="1"/>
  </r>
  <r>
    <s v="B0FKMLFTY8"/>
    <x v="494"/>
    <x v="10"/>
    <n v="63990"/>
    <n v="72990"/>
    <n v="0.123"/>
    <n v="4.5999999999999996"/>
    <n v="39"/>
    <n v="1"/>
    <b v="0"/>
    <b v="0"/>
    <b v="0"/>
    <b v="0"/>
    <d v="2026-06-05T00:00:00"/>
    <n v="179.39999999999998"/>
    <n v="63990"/>
    <s v="Above ₹10,000"/>
    <x v="3"/>
  </r>
  <r>
    <s v="B0FK4RND9C"/>
    <x v="495"/>
    <x v="10"/>
    <n v="2199"/>
    <n v="3500"/>
    <n v="0.372"/>
    <n v="3.3"/>
    <n v="598"/>
    <n v="1"/>
    <b v="0"/>
    <b v="0"/>
    <b v="0"/>
    <b v="1"/>
    <d v="2026-06-05T00:00:00"/>
    <n v="1973.3999999999999"/>
    <n v="2199"/>
    <s v="₹1,000–₹5,000"/>
    <x v="1"/>
  </r>
  <r>
    <s v="B0FHQ9Q53J"/>
    <x v="496"/>
    <x v="10"/>
    <n v="589"/>
    <n v="799"/>
    <n v="0.26300000000000001"/>
    <n v="3.7"/>
    <n v="104"/>
    <n v="1"/>
    <b v="0"/>
    <b v="0"/>
    <b v="0"/>
    <b v="0"/>
    <d v="2026-06-05T00:00:00"/>
    <n v="384.8"/>
    <n v="589"/>
    <s v="₹500–₹1,000"/>
    <x v="1"/>
  </r>
  <r>
    <s v="B0GXZBY1GZ"/>
    <x v="497"/>
    <x v="10"/>
    <n v="899"/>
    <n v="4999"/>
    <n v="0.82"/>
    <n v="3.2"/>
    <n v="19"/>
    <n v="1"/>
    <b v="0"/>
    <b v="0"/>
    <b v="0"/>
    <b v="0"/>
    <d v="2026-06-05T00:00:00"/>
    <n v="60.800000000000004"/>
    <n v="899"/>
    <s v="₹500–₹1,000"/>
    <x v="1"/>
  </r>
  <r>
    <s v="B0G64NW2KQ"/>
    <x v="498"/>
    <x v="10"/>
    <n v="4990"/>
    <n v="7580"/>
    <n v="0.34200000000000003"/>
    <n v="3.8"/>
    <n v="168"/>
    <n v="1"/>
    <b v="0"/>
    <b v="0"/>
    <b v="0"/>
    <b v="0"/>
    <d v="2026-06-05T00:00:00"/>
    <n v="638.4"/>
    <n v="4990"/>
    <s v="₹1,000–₹5,000"/>
    <x v="1"/>
  </r>
  <r>
    <s v="B0BCW1S7XR"/>
    <x v="499"/>
    <x v="10"/>
    <n v="25990"/>
    <n v="51999"/>
    <n v="0.5"/>
    <n v="4.3"/>
    <n v="1524"/>
    <n v="1"/>
    <b v="0"/>
    <b v="0"/>
    <b v="0"/>
    <b v="0"/>
    <d v="2026-06-05T00:00:00"/>
    <n v="6553.2"/>
    <n v="25990"/>
    <s v="Above ₹10,000"/>
    <x v="0"/>
  </r>
  <r>
    <s v="B0D1YH4B2R"/>
    <x v="500"/>
    <x v="10"/>
    <n v="35990"/>
    <n v="40990"/>
    <n v="0.122"/>
    <n v="4.5"/>
    <n v="1691"/>
    <n v="1"/>
    <b v="0"/>
    <b v="0"/>
    <b v="0"/>
    <b v="0"/>
    <d v="2026-06-05T00:00:00"/>
    <n v="7609.5"/>
    <n v="35990"/>
    <s v="Above ₹10,000"/>
    <x v="3"/>
  </r>
  <r>
    <s v="B0DFY77JNM"/>
    <x v="501"/>
    <x v="10"/>
    <n v="1697"/>
    <n v="4399"/>
    <n v="0.61399999999999999"/>
    <n v="3.5"/>
    <n v="714"/>
    <n v="1"/>
    <b v="0"/>
    <b v="0"/>
    <b v="0"/>
    <b v="0"/>
    <d v="2026-06-05T00:00:00"/>
    <n v="2499"/>
    <n v="1697"/>
    <s v="₹1,000–₹5,000"/>
    <x v="1"/>
  </r>
  <r>
    <s v="B0GXVQQK3P"/>
    <x v="502"/>
    <x v="10"/>
    <n v="1989"/>
    <n v="3999"/>
    <n v="0.503"/>
    <n v="1.9"/>
    <n v="4"/>
    <n v="1"/>
    <b v="0"/>
    <b v="0"/>
    <b v="0"/>
    <b v="0"/>
    <d v="2026-06-05T00:00:00"/>
    <n v="7.6"/>
    <n v="1989"/>
    <s v="₹1,000–₹5,000"/>
    <x v="5"/>
  </r>
  <r>
    <s v="B0G1XY42W7"/>
    <x v="503"/>
    <x v="10"/>
    <n v="1649"/>
    <n v="2499"/>
    <n v="0.34"/>
    <n v="4.7"/>
    <n v="4"/>
    <n v="1"/>
    <b v="0"/>
    <b v="0"/>
    <b v="0"/>
    <b v="0"/>
    <d v="2026-06-05T00:00:00"/>
    <n v="18.8"/>
    <n v="1649"/>
    <s v="₹1,000–₹5,000"/>
    <x v="3"/>
  </r>
  <r>
    <s v="B0CYGYCRH8"/>
    <x v="504"/>
    <x v="10"/>
    <n v="2490"/>
    <n v="4490"/>
    <n v="0.44500000000000001"/>
    <n v="3.6"/>
    <n v="5120"/>
    <n v="2"/>
    <b v="0"/>
    <b v="0"/>
    <b v="0"/>
    <b v="1"/>
    <d v="2026-06-05T00:00:00"/>
    <n v="18432"/>
    <n v="2490"/>
    <s v="₹1,000–₹5,000"/>
    <x v="1"/>
  </r>
  <r>
    <s v="B0DTK5596V"/>
    <x v="505"/>
    <x v="10"/>
    <n v="76490"/>
    <n v="89990"/>
    <n v="0.15"/>
    <n v="4.5999999999999996"/>
    <n v="90"/>
    <n v="1"/>
    <b v="0"/>
    <b v="0"/>
    <b v="0"/>
    <b v="0"/>
    <d v="2026-06-05T00:00:00"/>
    <n v="413.99999999999994"/>
    <n v="76490"/>
    <s v="Above ₹10,000"/>
    <x v="3"/>
  </r>
  <r>
    <s v="B0CG19FGQ5"/>
    <x v="506"/>
    <x v="10"/>
    <n v="59134"/>
    <n v="74990"/>
    <n v="0.21099999999999999"/>
    <n v="4.4000000000000004"/>
    <n v="6218"/>
    <n v="1"/>
    <b v="0"/>
    <b v="0"/>
    <b v="0"/>
    <b v="0"/>
    <d v="2026-06-05T00:00:00"/>
    <n v="27359.200000000001"/>
    <n v="59134"/>
    <s v="Above ₹10,000"/>
    <x v="0"/>
  </r>
  <r>
    <s v="B0DJC4NBV8"/>
    <x v="507"/>
    <x v="10"/>
    <n v="88000"/>
    <n v="94999"/>
    <n v="7.3999999999999996E-2"/>
    <n v="4.5"/>
    <n v="143"/>
    <n v="1"/>
    <b v="0"/>
    <b v="0"/>
    <b v="0"/>
    <b v="0"/>
    <d v="2026-06-05T00:00:00"/>
    <n v="643.5"/>
    <n v="88000"/>
    <s v="Above ₹10,000"/>
    <x v="3"/>
  </r>
  <r>
    <s v="B0GKG3TLF3"/>
    <x v="508"/>
    <x v="10"/>
    <n v="1599"/>
    <n v="3299"/>
    <n v="0.51500000000000001"/>
    <n v="4.3"/>
    <n v="4795"/>
    <n v="1"/>
    <b v="0"/>
    <b v="0"/>
    <b v="0"/>
    <b v="0"/>
    <d v="2026-06-05T00:00:00"/>
    <n v="20618.5"/>
    <n v="1599"/>
    <s v="₹1,000–₹5,000"/>
    <x v="0"/>
  </r>
  <r>
    <s v="B0BLLCJ963"/>
    <x v="509"/>
    <x v="10"/>
    <n v="28499"/>
    <n v="39999"/>
    <n v="0.28799999999999998"/>
    <n v="4"/>
    <n v="1034"/>
    <n v="1"/>
    <b v="0"/>
    <b v="0"/>
    <b v="0"/>
    <b v="0"/>
    <d v="2026-06-05T00:00:00"/>
    <n v="4136"/>
    <n v="28499"/>
    <s v="Above ₹10,000"/>
    <x v="0"/>
  </r>
  <r>
    <s v="B0GVJNKCTW"/>
    <x v="510"/>
    <x v="10"/>
    <n v="2979"/>
    <n v="4999"/>
    <n v="0.40400000000000003"/>
    <n v="4"/>
    <n v="2"/>
    <n v="1"/>
    <b v="0"/>
    <b v="0"/>
    <b v="0"/>
    <b v="0"/>
    <d v="2026-06-05T00:00:00"/>
    <n v="8"/>
    <n v="2979"/>
    <s v="₹1,000–₹5,000"/>
    <x v="0"/>
  </r>
  <r>
    <s v="B0GXYYQJ2M"/>
    <x v="511"/>
    <x v="10"/>
    <n v="2410"/>
    <n v="2799"/>
    <n v="0.13900000000000001"/>
    <n v="2.7"/>
    <n v="16"/>
    <n v="1"/>
    <b v="0"/>
    <b v="0"/>
    <b v="0"/>
    <b v="0"/>
    <d v="2026-06-05T00:00:00"/>
    <n v="43.2"/>
    <n v="2410"/>
    <s v="₹1,000–₹5,000"/>
    <x v="2"/>
  </r>
  <r>
    <s v="B09B84729K"/>
    <x v="512"/>
    <x v="10"/>
    <n v="1117486"/>
    <n v="1409912"/>
    <n v="0.20699999999999999"/>
    <n v="5"/>
    <n v="5"/>
    <n v="1"/>
    <b v="0"/>
    <b v="0"/>
    <b v="0"/>
    <b v="0"/>
    <d v="2026-06-05T00:00:00"/>
    <n v="25"/>
    <n v="1117486"/>
    <s v="Above ₹10,000"/>
    <x v="3"/>
  </r>
  <r>
    <s v="B0FN4RBZ6G"/>
    <x v="513"/>
    <x v="10"/>
    <n v="1678"/>
    <n v="3999"/>
    <n v="0.57999999999999996"/>
    <n v="3.7"/>
    <n v="70"/>
    <n v="1"/>
    <b v="0"/>
    <b v="0"/>
    <b v="0"/>
    <b v="0"/>
    <d v="2026-06-05T00:00:00"/>
    <n v="259"/>
    <n v="1678"/>
    <s v="₹1,000–₹5,000"/>
    <x v="1"/>
  </r>
  <r>
    <s v="B07NF5PT84"/>
    <x v="514"/>
    <x v="10"/>
    <n v="91490"/>
    <n v="116490"/>
    <n v="0.215"/>
    <n v="4.7"/>
    <n v="195"/>
    <n v="1"/>
    <b v="0"/>
    <b v="0"/>
    <b v="0"/>
    <b v="0"/>
    <d v="2026-06-05T00:00:00"/>
    <n v="916.5"/>
    <n v="91490"/>
    <s v="Above ₹10,000"/>
    <x v="3"/>
  </r>
  <r>
    <s v="B07VGHW91J"/>
    <x v="515"/>
    <x v="10"/>
    <n v="264990"/>
    <n v="297990"/>
    <n v="0.111"/>
    <n v="4.5999999999999996"/>
    <n v="245"/>
    <n v="1"/>
    <b v="0"/>
    <b v="0"/>
    <b v="0"/>
    <b v="0"/>
    <d v="2026-06-05T00:00:00"/>
    <n v="1127"/>
    <n v="264990"/>
    <s v="Above ₹10,000"/>
    <x v="3"/>
  </r>
  <r>
    <s v="B0GRH88VYL"/>
    <x v="516"/>
    <x v="10"/>
    <n v="1889"/>
    <n v="2999"/>
    <n v="0.37"/>
    <n v="3.9"/>
    <n v="12"/>
    <n v="1"/>
    <b v="0"/>
    <b v="0"/>
    <b v="0"/>
    <b v="0"/>
    <d v="2026-06-05T00:00:00"/>
    <n v="46.8"/>
    <n v="1889"/>
    <s v="₹1,000–₹5,000"/>
    <x v="1"/>
  </r>
  <r>
    <s v="B0C3HXLYFS"/>
    <x v="517"/>
    <x v="10"/>
    <n v="944"/>
    <n v="3200"/>
    <n v="0.70499999999999996"/>
    <n v="3.9"/>
    <n v="305"/>
    <n v="7"/>
    <b v="0"/>
    <b v="0"/>
    <b v="0"/>
    <b v="0"/>
    <d v="2026-06-05T00:00:00"/>
    <n v="1189.5"/>
    <n v="944"/>
    <s v="₹500–₹1,000"/>
    <x v="1"/>
  </r>
  <r>
    <s v="B0B2KV6D97"/>
    <x v="518"/>
    <x v="10"/>
    <n v="102890"/>
    <n v="119995"/>
    <n v="0.14299999999999999"/>
    <n v="4.7"/>
    <n v="268"/>
    <n v="1"/>
    <b v="0"/>
    <b v="0"/>
    <b v="0"/>
    <b v="0"/>
    <d v="2026-06-05T00:00:00"/>
    <n v="1259.6000000000001"/>
    <n v="102890"/>
    <s v="Above ₹10,000"/>
    <x v="3"/>
  </r>
  <r>
    <s v="B0GKPNC2NR"/>
    <x v="519"/>
    <x v="10"/>
    <n v="7999"/>
    <n v="14999"/>
    <n v="0.46700000000000003"/>
    <n v="2.4"/>
    <n v="5"/>
    <n v="1"/>
    <b v="0"/>
    <b v="0"/>
    <b v="0"/>
    <b v="0"/>
    <d v="2026-06-05T00:00:00"/>
    <n v="12"/>
    <n v="7999"/>
    <s v="₹5,000–₹10,000"/>
    <x v="2"/>
  </r>
  <r>
    <s v="B0CBQR21K3"/>
    <x v="520"/>
    <x v="10"/>
    <n v="1005481"/>
    <n v="1055481"/>
    <n v="4.7E-2"/>
    <n v="5"/>
    <n v="1"/>
    <n v="1"/>
    <b v="0"/>
    <b v="0"/>
    <b v="0"/>
    <b v="0"/>
    <d v="2026-06-05T00:00:00"/>
    <n v="5"/>
    <n v="1005481"/>
    <s v="Above ₹10,000"/>
    <x v="3"/>
  </r>
  <r>
    <s v="B0DW49ZB6Y"/>
    <x v="521"/>
    <x v="10"/>
    <n v="599999"/>
    <n v="630995"/>
    <n v="4.9000000000000002E-2"/>
    <n v="3.7"/>
    <n v="3"/>
    <n v="1"/>
    <b v="0"/>
    <b v="0"/>
    <b v="0"/>
    <b v="0"/>
    <d v="2026-06-05T00:00:00"/>
    <n v="11.100000000000001"/>
    <n v="599999"/>
    <s v="Above ₹10,000"/>
    <x v="1"/>
  </r>
  <r>
    <s v="B0GRVB1X7Z"/>
    <x v="522"/>
    <x v="10"/>
    <n v="1489"/>
    <n v="2499"/>
    <n v="0.40400000000000003"/>
    <n v="3.8"/>
    <n v="3"/>
    <n v="1"/>
    <b v="0"/>
    <b v="0"/>
    <b v="0"/>
    <b v="0"/>
    <d v="2026-06-05T00:00:00"/>
    <n v="11.399999999999999"/>
    <n v="1489"/>
    <s v="₹1,000–₹5,000"/>
    <x v="1"/>
  </r>
  <r>
    <s v="B0FRRRNVPX"/>
    <x v="523"/>
    <x v="10"/>
    <n v="18970"/>
    <n v="32999"/>
    <n v="0.42499999999999999"/>
    <n v="4.4000000000000004"/>
    <n v="73"/>
    <n v="1"/>
    <b v="0"/>
    <b v="0"/>
    <b v="0"/>
    <b v="0"/>
    <d v="2026-06-05T00:00:00"/>
    <n v="321.20000000000005"/>
    <n v="18970"/>
    <s v="Above ₹10,000"/>
    <x v="0"/>
  </r>
  <r>
    <s v="B0F1XQX7M4"/>
    <x v="524"/>
    <x v="11"/>
    <n v="581"/>
    <n v="1299"/>
    <n v="0.55300000000000005"/>
    <n v="3.4"/>
    <n v="1210"/>
    <n v="1"/>
    <b v="0"/>
    <b v="0"/>
    <b v="0"/>
    <b v="0"/>
    <d v="2026-06-05T00:00:00"/>
    <n v="4114"/>
    <n v="581"/>
    <s v="₹500–₹1,000"/>
    <x v="1"/>
  </r>
  <r>
    <s v="B0GCTMJ81F"/>
    <x v="525"/>
    <x v="11"/>
    <n v="1999"/>
    <n v="3999"/>
    <n v="0.5"/>
    <n v="4"/>
    <n v="10"/>
    <n v="1"/>
    <b v="0"/>
    <b v="0"/>
    <b v="0"/>
    <b v="0"/>
    <d v="2026-06-05T00:00:00"/>
    <n v="40"/>
    <n v="1999"/>
    <s v="₹1,000–₹5,000"/>
    <x v="0"/>
  </r>
  <r>
    <s v="B0GYS94ZFJ"/>
    <x v="526"/>
    <x v="11"/>
    <n v="785"/>
    <n v="1299"/>
    <n v="0.39600000000000002"/>
    <n v="4.2"/>
    <n v="43"/>
    <n v="1"/>
    <b v="0"/>
    <b v="0"/>
    <b v="0"/>
    <b v="0"/>
    <d v="2026-06-05T00:00:00"/>
    <n v="180.6"/>
    <n v="785"/>
    <s v="₹500–₹1,000"/>
    <x v="0"/>
  </r>
  <r>
    <s v="B0GKFM3848"/>
    <x v="527"/>
    <x v="11"/>
    <n v="580"/>
    <n v="999"/>
    <n v="0.41899999999999998"/>
    <n v="3.6"/>
    <n v="100"/>
    <n v="1"/>
    <b v="0"/>
    <b v="0"/>
    <b v="0"/>
    <b v="0"/>
    <d v="2026-06-05T00:00:00"/>
    <n v="360"/>
    <n v="580"/>
    <s v="₹500–₹1,000"/>
    <x v="1"/>
  </r>
  <r>
    <s v="B0GF8SBBY5"/>
    <x v="528"/>
    <x v="11"/>
    <n v="3397"/>
    <n v="5999"/>
    <n v="0.434"/>
    <m/>
    <n v="0"/>
    <n v="1"/>
    <b v="0"/>
    <b v="0"/>
    <b v="0"/>
    <b v="0"/>
    <d v="2026-06-05T00:00:00"/>
    <s v=""/>
    <n v="3397"/>
    <s v="₹1,000–₹5,000"/>
    <x v="4"/>
  </r>
  <r>
    <s v="B0DRSRVQ4C"/>
    <x v="529"/>
    <x v="11"/>
    <n v="756"/>
    <n v="999"/>
    <n v="0.24299999999999999"/>
    <m/>
    <n v="0"/>
    <n v="1"/>
    <b v="0"/>
    <b v="0"/>
    <b v="0"/>
    <b v="0"/>
    <d v="2026-06-05T00:00:00"/>
    <s v=""/>
    <n v="756"/>
    <s v="₹500–₹1,000"/>
    <x v="4"/>
  </r>
  <r>
    <s v="B0H2RSS17L"/>
    <x v="530"/>
    <x v="11"/>
    <n v="3399"/>
    <n v="5000"/>
    <n v="0.32"/>
    <n v="4.2"/>
    <n v="8"/>
    <n v="1"/>
    <b v="0"/>
    <b v="0"/>
    <b v="0"/>
    <b v="0"/>
    <d v="2026-06-05T00:00:00"/>
    <n v="33.6"/>
    <n v="3399"/>
    <s v="₹1,000–₹5,000"/>
    <x v="0"/>
  </r>
  <r>
    <s v="B0GZ9V61JJ"/>
    <x v="531"/>
    <x v="11"/>
    <n v="3499"/>
    <n v="5500"/>
    <n v="0.36399999999999999"/>
    <n v="5"/>
    <n v="6"/>
    <n v="1"/>
    <b v="0"/>
    <b v="0"/>
    <b v="0"/>
    <b v="0"/>
    <d v="2026-06-05T00:00:00"/>
    <n v="30"/>
    <n v="3499"/>
    <s v="₹1,000–₹5,000"/>
    <x v="3"/>
  </r>
  <r>
    <s v="B0F88PKHKF"/>
    <x v="532"/>
    <x v="11"/>
    <n v="1995"/>
    <n v="4998"/>
    <n v="0.60099999999999998"/>
    <n v="3.7"/>
    <n v="413"/>
    <n v="1"/>
    <b v="0"/>
    <b v="0"/>
    <b v="0"/>
    <b v="0"/>
    <d v="2026-06-05T00:00:00"/>
    <n v="1528.1000000000001"/>
    <n v="1995"/>
    <s v="₹1,000–₹5,000"/>
    <x v="1"/>
  </r>
  <r>
    <s v="B0H2RMLPRT"/>
    <x v="533"/>
    <x v="11"/>
    <n v="3349"/>
    <n v="5000"/>
    <n v="0.33"/>
    <n v="4.2"/>
    <n v="8"/>
    <n v="1"/>
    <b v="0"/>
    <b v="0"/>
    <b v="0"/>
    <b v="0"/>
    <d v="2026-06-05T00:00:00"/>
    <n v="33.6"/>
    <n v="3349"/>
    <s v="₹1,000–₹5,000"/>
    <x v="0"/>
  </r>
  <r>
    <s v="B0FQPHYPBJ"/>
    <x v="534"/>
    <x v="11"/>
    <n v="545"/>
    <n v="1999"/>
    <n v="0.72699999999999998"/>
    <n v="3.9"/>
    <n v="37"/>
    <n v="1"/>
    <b v="0"/>
    <b v="0"/>
    <b v="0"/>
    <b v="0"/>
    <d v="2026-06-05T00:00:00"/>
    <n v="144.29999999999998"/>
    <n v="545"/>
    <s v="₹500–₹1,000"/>
    <x v="1"/>
  </r>
  <r>
    <s v="B0CMJDVH1N"/>
    <x v="535"/>
    <x v="11"/>
    <n v="3599"/>
    <n v="4990"/>
    <n v="0.27900000000000003"/>
    <n v="3.2"/>
    <n v="125"/>
    <n v="1"/>
    <b v="0"/>
    <b v="0"/>
    <b v="0"/>
    <b v="0"/>
    <d v="2026-06-05T00:00:00"/>
    <n v="400"/>
    <n v="3599"/>
    <s v="₹1,000–₹5,000"/>
    <x v="1"/>
  </r>
  <r>
    <s v="B0GT1BSNLL"/>
    <x v="536"/>
    <x v="11"/>
    <n v="4899"/>
    <n v="8999"/>
    <n v="0.45600000000000002"/>
    <n v="4.5999999999999996"/>
    <n v="10"/>
    <n v="1"/>
    <b v="0"/>
    <b v="0"/>
    <b v="1"/>
    <b v="0"/>
    <d v="2026-06-05T00:00:00"/>
    <n v="46"/>
    <n v="4899"/>
    <s v="₹1,000–₹5,000"/>
    <x v="3"/>
  </r>
  <r>
    <s v="B0FYWSTM4J"/>
    <x v="537"/>
    <x v="11"/>
    <n v="673"/>
    <n v="2999"/>
    <n v="0.77600000000000002"/>
    <n v="3.4"/>
    <n v="17"/>
    <n v="1"/>
    <b v="0"/>
    <b v="0"/>
    <b v="0"/>
    <b v="0"/>
    <d v="2026-06-05T00:00:00"/>
    <n v="57.8"/>
    <n v="673"/>
    <s v="₹500–₹1,000"/>
    <x v="1"/>
  </r>
  <r>
    <s v="B0GQHL1W8Q"/>
    <x v="538"/>
    <x v="11"/>
    <n v="1208"/>
    <n v="1599"/>
    <n v="0.245"/>
    <n v="2.8"/>
    <n v="2"/>
    <n v="1"/>
    <b v="0"/>
    <b v="0"/>
    <b v="0"/>
    <b v="0"/>
    <d v="2026-06-05T00:00:00"/>
    <n v="5.6"/>
    <n v="1208"/>
    <s v="₹1,000–₹5,000"/>
    <x v="2"/>
  </r>
  <r>
    <s v="B0FG2QY14B"/>
    <x v="539"/>
    <x v="11"/>
    <n v="4950"/>
    <n v="6990"/>
    <n v="0.29199999999999998"/>
    <n v="3.8"/>
    <n v="62"/>
    <n v="1"/>
    <b v="0"/>
    <b v="0"/>
    <b v="0"/>
    <b v="0"/>
    <d v="2026-06-05T00:00:00"/>
    <n v="235.6"/>
    <n v="4950"/>
    <s v="₹1,000–₹5,000"/>
    <x v="1"/>
  </r>
  <r>
    <s v="B0DSVVCM9D"/>
    <x v="540"/>
    <x v="11"/>
    <n v="1199"/>
    <n v="1599"/>
    <n v="0.25"/>
    <n v="3.9"/>
    <n v="267"/>
    <n v="1"/>
    <b v="0"/>
    <b v="0"/>
    <b v="0"/>
    <b v="0"/>
    <d v="2026-06-05T00:00:00"/>
    <n v="1041.3"/>
    <n v="1199"/>
    <s v="₹1,000–₹5,000"/>
    <x v="1"/>
  </r>
  <r>
    <s v="B0DKT7VBFM"/>
    <x v="541"/>
    <x v="11"/>
    <n v="776"/>
    <n v="999"/>
    <n v="0.223"/>
    <n v="3.7"/>
    <n v="48"/>
    <n v="1"/>
    <b v="0"/>
    <b v="0"/>
    <b v="0"/>
    <b v="0"/>
    <d v="2026-06-05T00:00:00"/>
    <n v="177.60000000000002"/>
    <n v="776"/>
    <s v="₹500–₹1,000"/>
    <x v="1"/>
  </r>
  <r>
    <s v="B0G6ZZZ3XV"/>
    <x v="542"/>
    <x v="11"/>
    <n v="999"/>
    <n v="1999"/>
    <n v="0.5"/>
    <n v="4.3"/>
    <n v="6"/>
    <n v="1"/>
    <b v="0"/>
    <b v="0"/>
    <b v="0"/>
    <b v="0"/>
    <d v="2026-06-05T00:00:00"/>
    <n v="25.799999999999997"/>
    <n v="999"/>
    <s v="₹500–₹1,000"/>
    <x v="0"/>
  </r>
  <r>
    <s v="B0FPQQD7C7"/>
    <x v="543"/>
    <x v="11"/>
    <n v="6199"/>
    <n v="9999"/>
    <n v="0.38"/>
    <n v="3.7"/>
    <n v="18"/>
    <n v="1"/>
    <b v="0"/>
    <b v="0"/>
    <b v="0"/>
    <b v="0"/>
    <d v="2026-06-05T00:00:00"/>
    <n v="66.600000000000009"/>
    <n v="6199"/>
    <s v="₹5,000–₹10,000"/>
    <x v="1"/>
  </r>
  <r>
    <s v="B0G38HMV1B"/>
    <x v="544"/>
    <x v="11"/>
    <n v="898"/>
    <n v="1349"/>
    <n v="0.33400000000000002"/>
    <n v="3.8"/>
    <n v="56"/>
    <n v="1"/>
    <b v="0"/>
    <b v="0"/>
    <b v="0"/>
    <b v="0"/>
    <d v="2026-06-05T00:00:00"/>
    <n v="212.79999999999998"/>
    <n v="898"/>
    <s v="₹500–₹1,000"/>
    <x v="1"/>
  </r>
  <r>
    <s v="B0FQDWFHWW"/>
    <x v="545"/>
    <x v="11"/>
    <n v="1999"/>
    <n v="3999"/>
    <n v="0.5"/>
    <n v="3.2"/>
    <n v="35"/>
    <n v="1"/>
    <b v="0"/>
    <b v="0"/>
    <b v="0"/>
    <b v="0"/>
    <d v="2026-06-05T00:00:00"/>
    <n v="112"/>
    <n v="1999"/>
    <s v="₹1,000–₹5,000"/>
    <x v="1"/>
  </r>
  <r>
    <s v="B0F2LZHDZ2"/>
    <x v="546"/>
    <x v="11"/>
    <n v="679"/>
    <n v="999"/>
    <n v="0.32"/>
    <n v="3.7"/>
    <n v="246"/>
    <n v="1"/>
    <b v="0"/>
    <b v="0"/>
    <b v="0"/>
    <b v="0"/>
    <d v="2026-06-05T00:00:00"/>
    <n v="910.2"/>
    <n v="679"/>
    <s v="₹500–₹1,000"/>
    <x v="1"/>
  </r>
  <r>
    <s v="B0GL7P1QL9"/>
    <x v="547"/>
    <x v="11"/>
    <n v="2289"/>
    <n v="4999"/>
    <n v="0.54200000000000004"/>
    <n v="2.1"/>
    <n v="17"/>
    <n v="1"/>
    <b v="0"/>
    <b v="0"/>
    <b v="0"/>
    <b v="0"/>
    <d v="2026-06-05T00:00:00"/>
    <n v="35.700000000000003"/>
    <n v="2289"/>
    <s v="₹1,000–₹5,000"/>
    <x v="2"/>
  </r>
  <r>
    <s v="B0GT9SCQZN"/>
    <x v="548"/>
    <x v="11"/>
    <n v="4799"/>
    <n v="8399"/>
    <n v="0.42899999999999999"/>
    <n v="2"/>
    <n v="2"/>
    <n v="1"/>
    <b v="0"/>
    <b v="0"/>
    <b v="0"/>
    <b v="0"/>
    <d v="2026-06-05T00:00:00"/>
    <n v="4"/>
    <n v="4799"/>
    <s v="₹1,000–₹5,000"/>
    <x v="2"/>
  </r>
  <r>
    <s v="B0G1GYMRV4"/>
    <x v="549"/>
    <x v="11"/>
    <n v="899"/>
    <n v="999"/>
    <n v="0.1"/>
    <n v="3"/>
    <n v="39"/>
    <n v="1"/>
    <b v="0"/>
    <b v="0"/>
    <b v="0"/>
    <b v="0"/>
    <d v="2026-06-05T00:00:00"/>
    <n v="117"/>
    <n v="899"/>
    <s v="₹500–₹1,000"/>
    <x v="1"/>
  </r>
  <r>
    <s v="B0G4NF9JQG"/>
    <x v="550"/>
    <x v="11"/>
    <n v="2299"/>
    <n v="3999"/>
    <n v="0.42499999999999999"/>
    <n v="3.4"/>
    <n v="3"/>
    <n v="1"/>
    <b v="0"/>
    <b v="0"/>
    <b v="0"/>
    <b v="0"/>
    <d v="2026-06-05T00:00:00"/>
    <n v="10.199999999999999"/>
    <n v="2299"/>
    <s v="₹1,000–₹5,000"/>
    <x v="1"/>
  </r>
  <r>
    <s v="B0D8VVH9CS"/>
    <x v="551"/>
    <x v="11"/>
    <n v="899"/>
    <n v="1999"/>
    <n v="0.55000000000000004"/>
    <n v="3.6"/>
    <n v="17"/>
    <n v="1"/>
    <b v="0"/>
    <b v="0"/>
    <b v="0"/>
    <b v="0"/>
    <d v="2026-06-05T00:00:00"/>
    <n v="61.2"/>
    <n v="899"/>
    <s v="₹500–₹1,000"/>
    <x v="1"/>
  </r>
  <r>
    <s v="B0F6N212VV"/>
    <x v="552"/>
    <x v="11"/>
    <n v="3298"/>
    <n v="7999"/>
    <n v="0.58799999999999997"/>
    <n v="3"/>
    <n v="30"/>
    <n v="1"/>
    <b v="0"/>
    <b v="0"/>
    <b v="0"/>
    <b v="0"/>
    <d v="2026-06-05T00:00:00"/>
    <n v="90"/>
    <n v="3298"/>
    <s v="₹1,000–₹5,000"/>
    <x v="1"/>
  </r>
  <r>
    <s v="B09GPGJZN5"/>
    <x v="553"/>
    <x v="11"/>
    <n v="1899"/>
    <n v="3999"/>
    <n v="0.52500000000000002"/>
    <n v="3.2"/>
    <n v="113"/>
    <n v="1"/>
    <b v="0"/>
    <b v="0"/>
    <b v="0"/>
    <b v="0"/>
    <d v="2026-06-05T00:00:00"/>
    <n v="361.6"/>
    <n v="1899"/>
    <s v="₹1,000–₹5,000"/>
    <x v="1"/>
  </r>
  <r>
    <s v="B0D4J24X5C"/>
    <x v="554"/>
    <x v="11"/>
    <n v="797"/>
    <n v="1999"/>
    <n v="0.60099999999999998"/>
    <n v="3.4"/>
    <n v="133"/>
    <n v="1"/>
    <b v="0"/>
    <b v="0"/>
    <b v="0"/>
    <b v="0"/>
    <d v="2026-06-05T00:00:00"/>
    <n v="452.2"/>
    <n v="797"/>
    <s v="₹500–₹1,000"/>
    <x v="1"/>
  </r>
  <r>
    <s v="B0FPQM4CCB"/>
    <x v="555"/>
    <x v="11"/>
    <n v="2499"/>
    <n v="4999"/>
    <n v="0.5"/>
    <n v="3.2"/>
    <n v="127"/>
    <n v="1"/>
    <b v="0"/>
    <b v="0"/>
    <b v="0"/>
    <b v="0"/>
    <d v="2026-06-05T00:00:00"/>
    <n v="406.40000000000003"/>
    <n v="2499"/>
    <s v="₹1,000–₹5,000"/>
    <x v="1"/>
  </r>
  <r>
    <s v="B0GTNSXTDZ"/>
    <x v="556"/>
    <x v="11"/>
    <n v="631"/>
    <n v="899"/>
    <n v="0.29799999999999999"/>
    <m/>
    <n v="0"/>
    <n v="1"/>
    <b v="0"/>
    <b v="0"/>
    <b v="0"/>
    <b v="0"/>
    <d v="2026-06-05T00:00:00"/>
    <s v=""/>
    <n v="631"/>
    <s v="₹500–₹1,000"/>
    <x v="4"/>
  </r>
  <r>
    <s v="B0FSDNXVG8"/>
    <x v="557"/>
    <x v="11"/>
    <n v="59990"/>
    <n v="83990"/>
    <n v="0.28599999999999998"/>
    <n v="4.3"/>
    <n v="36"/>
    <n v="1"/>
    <b v="0"/>
    <b v="0"/>
    <b v="0"/>
    <b v="0"/>
    <d v="2026-06-05T00:00:00"/>
    <n v="154.79999999999998"/>
    <n v="59990"/>
    <s v="Above ₹10,000"/>
    <x v="0"/>
  </r>
  <r>
    <s v="B0H36W8FDH"/>
    <x v="558"/>
    <x v="11"/>
    <n v="649"/>
    <n v="1599"/>
    <n v="0.59399999999999997"/>
    <m/>
    <n v="0"/>
    <n v="1"/>
    <b v="0"/>
    <b v="0"/>
    <b v="0"/>
    <b v="0"/>
    <d v="2026-06-05T00:00:00"/>
    <s v=""/>
    <n v="649"/>
    <s v="₹500–₹1,000"/>
    <x v="4"/>
  </r>
  <r>
    <s v="B0GZSGRF2V"/>
    <x v="559"/>
    <x v="11"/>
    <n v="4499"/>
    <n v="6990"/>
    <n v="0.35599999999999998"/>
    <n v="5"/>
    <n v="1"/>
    <n v="1"/>
    <b v="0"/>
    <b v="0"/>
    <b v="0"/>
    <b v="0"/>
    <d v="2026-06-05T00:00:00"/>
    <n v="5"/>
    <n v="4499"/>
    <s v="₹1,000–₹5,000"/>
    <x v="3"/>
  </r>
  <r>
    <s v="B0GJ5D3M5L"/>
    <x v="560"/>
    <x v="11"/>
    <n v="3999"/>
    <n v="9999"/>
    <n v="0.6"/>
    <n v="4.5999999999999996"/>
    <n v="4"/>
    <n v="1"/>
    <b v="0"/>
    <b v="0"/>
    <b v="0"/>
    <b v="0"/>
    <d v="2026-06-05T00:00:00"/>
    <n v="18.399999999999999"/>
    <n v="3999"/>
    <s v="₹1,000–₹5,000"/>
    <x v="3"/>
  </r>
  <r>
    <s v="B0FFZKFRDH"/>
    <x v="561"/>
    <x v="11"/>
    <n v="599"/>
    <n v="2499"/>
    <n v="0.76"/>
    <n v="3.1"/>
    <n v="45"/>
    <n v="1"/>
    <b v="0"/>
    <b v="0"/>
    <b v="0"/>
    <b v="0"/>
    <d v="2026-06-05T00:00:00"/>
    <n v="139.5"/>
    <n v="599"/>
    <s v="₹500–₹1,000"/>
    <x v="1"/>
  </r>
  <r>
    <s v="B0G5GS24GN"/>
    <x v="562"/>
    <x v="11"/>
    <n v="4255"/>
    <n v="5999"/>
    <n v="0.29099999999999998"/>
    <n v="4"/>
    <n v="1"/>
    <n v="1"/>
    <b v="0"/>
    <b v="0"/>
    <b v="0"/>
    <b v="0"/>
    <d v="2026-06-05T00:00:00"/>
    <n v="4"/>
    <n v="4255"/>
    <s v="₹1,000–₹5,000"/>
    <x v="0"/>
  </r>
  <r>
    <s v="B0FPFXCKF1"/>
    <x v="563"/>
    <x v="11"/>
    <n v="679"/>
    <n v="1299"/>
    <n v="0.47699999999999998"/>
    <n v="3.5"/>
    <n v="25"/>
    <n v="1"/>
    <b v="0"/>
    <b v="0"/>
    <b v="0"/>
    <b v="0"/>
    <d v="2026-06-05T00:00:00"/>
    <n v="87.5"/>
    <n v="679"/>
    <s v="₹500–₹1,000"/>
    <x v="1"/>
  </r>
  <r>
    <s v="B0DYKCD2GV"/>
    <x v="564"/>
    <x v="11"/>
    <n v="4985"/>
    <n v="9990"/>
    <n v="0.501"/>
    <n v="4"/>
    <n v="69"/>
    <n v="1"/>
    <b v="0"/>
    <b v="0"/>
    <b v="0"/>
    <b v="0"/>
    <d v="2026-06-05T00:00:00"/>
    <n v="276"/>
    <n v="4985"/>
    <s v="₹1,000–₹5,000"/>
    <x v="0"/>
  </r>
  <r>
    <s v="B0FNKLG46G"/>
    <x v="565"/>
    <x v="11"/>
    <n v="1899"/>
    <n v="3999"/>
    <n v="0.52500000000000002"/>
    <n v="3"/>
    <n v="2"/>
    <n v="1"/>
    <b v="0"/>
    <b v="0"/>
    <b v="0"/>
    <b v="0"/>
    <d v="2026-06-05T00:00:00"/>
    <n v="6"/>
    <n v="1899"/>
    <s v="₹1,000–₹5,000"/>
    <x v="1"/>
  </r>
  <r>
    <s v="B0GPCXQM4Y"/>
    <x v="566"/>
    <x v="11"/>
    <n v="525"/>
    <n v="999"/>
    <n v="0.47399999999999998"/>
    <n v="3"/>
    <n v="5"/>
    <n v="1"/>
    <b v="0"/>
    <b v="0"/>
    <b v="0"/>
    <b v="0"/>
    <d v="2026-06-05T00:00:00"/>
    <n v="15"/>
    <n v="525"/>
    <s v="₹500–₹1,000"/>
    <x v="1"/>
  </r>
  <r>
    <s v="B0GZSBDYNF"/>
    <x v="567"/>
    <x v="11"/>
    <n v="4499"/>
    <n v="6990"/>
    <n v="0.35599999999999998"/>
    <n v="5"/>
    <n v="1"/>
    <n v="1"/>
    <b v="0"/>
    <b v="0"/>
    <b v="0"/>
    <b v="0"/>
    <d v="2026-06-05T00:00:00"/>
    <n v="5"/>
    <n v="4499"/>
    <s v="₹1,000–₹5,000"/>
    <x v="3"/>
  </r>
  <r>
    <s v="B0FYQG2KGX"/>
    <x v="568"/>
    <x v="11"/>
    <n v="4990"/>
    <n v="6990"/>
    <n v="0.28599999999999998"/>
    <n v="3.5"/>
    <n v="2"/>
    <n v="1"/>
    <b v="0"/>
    <b v="0"/>
    <b v="0"/>
    <b v="0"/>
    <d v="2026-06-05T00:00:00"/>
    <n v="7"/>
    <n v="4990"/>
    <s v="₹1,000–₹5,000"/>
    <x v="1"/>
  </r>
  <r>
    <s v="B0FMRF49MG"/>
    <x v="569"/>
    <x v="11"/>
    <n v="2539"/>
    <n v="2999"/>
    <n v="0.153"/>
    <n v="2.6"/>
    <n v="9"/>
    <n v="1"/>
    <b v="0"/>
    <b v="0"/>
    <b v="0"/>
    <b v="0"/>
    <d v="2026-06-05T00:00:00"/>
    <n v="23.400000000000002"/>
    <n v="2539"/>
    <s v="₹1,000–₹5,000"/>
    <x v="2"/>
  </r>
  <r>
    <s v="B0GHX1T4QN"/>
    <x v="570"/>
    <x v="11"/>
    <n v="545"/>
    <n v="1999"/>
    <n v="0.72699999999999998"/>
    <n v="4"/>
    <n v="6"/>
    <n v="1"/>
    <b v="0"/>
    <b v="0"/>
    <b v="0"/>
    <b v="0"/>
    <d v="2026-06-05T00:00:00"/>
    <n v="24"/>
    <n v="545"/>
    <s v="₹500–₹1,000"/>
    <x v="0"/>
  </r>
  <r>
    <s v="B0GJ5HB23T"/>
    <x v="571"/>
    <x v="11"/>
    <n v="3999"/>
    <n v="9999"/>
    <n v="0.6"/>
    <n v="5"/>
    <n v="2"/>
    <n v="1"/>
    <b v="0"/>
    <b v="0"/>
    <b v="0"/>
    <b v="0"/>
    <d v="2026-06-05T00:00:00"/>
    <n v="10"/>
    <n v="3999"/>
    <s v="₹1,000–₹5,000"/>
    <x v="3"/>
  </r>
  <r>
    <s v="B0FPQLJGYN"/>
    <x v="572"/>
    <x v="11"/>
    <n v="5999"/>
    <n v="10999"/>
    <n v="0.45500000000000002"/>
    <n v="5"/>
    <n v="1"/>
    <n v="1"/>
    <b v="0"/>
    <b v="0"/>
    <b v="0"/>
    <b v="0"/>
    <d v="2026-06-05T00:00:00"/>
    <n v="5"/>
    <n v="5999"/>
    <s v="₹5,000–₹10,000"/>
    <x v="3"/>
  </r>
  <r>
    <s v="B0FCYRXY9M"/>
    <x v="573"/>
    <x v="11"/>
    <n v="1289"/>
    <n v="1999"/>
    <n v="0.35499999999999998"/>
    <n v="4"/>
    <n v="126"/>
    <n v="1"/>
    <b v="0"/>
    <b v="0"/>
    <b v="0"/>
    <b v="0"/>
    <d v="2026-06-05T00:00:00"/>
    <n v="504"/>
    <n v="1289"/>
    <s v="₹1,000–₹5,000"/>
    <x v="0"/>
  </r>
  <r>
    <s v="B0FPFYXJGW"/>
    <x v="563"/>
    <x v="11"/>
    <n v="679"/>
    <n v="1999"/>
    <n v="0.66"/>
    <n v="3.3"/>
    <n v="60"/>
    <n v="1"/>
    <b v="0"/>
    <b v="0"/>
    <b v="0"/>
    <b v="0"/>
    <d v="2026-06-05T00:00:00"/>
    <n v="198"/>
    <n v="679"/>
    <s v="₹500–₹1,000"/>
    <x v="1"/>
  </r>
  <r>
    <s v="B0CPPJMC54"/>
    <x v="574"/>
    <x v="11"/>
    <n v="3999"/>
    <n v="6999"/>
    <n v="0.42899999999999999"/>
    <n v="3.4"/>
    <n v="37"/>
    <n v="1"/>
    <b v="0"/>
    <b v="0"/>
    <b v="0"/>
    <b v="0"/>
    <d v="2026-06-05T00:00:00"/>
    <n v="125.8"/>
    <n v="3999"/>
    <s v="₹1,000–₹5,000"/>
    <x v="1"/>
  </r>
  <r>
    <s v="B0G8JRLG9D"/>
    <x v="575"/>
    <x v="11"/>
    <n v="3999"/>
    <n v="7999"/>
    <n v="0.5"/>
    <n v="3.6"/>
    <n v="5"/>
    <n v="1"/>
    <b v="0"/>
    <b v="0"/>
    <b v="0"/>
    <b v="0"/>
    <d v="2026-06-05T00:00:00"/>
    <n v="18"/>
    <n v="3999"/>
    <s v="₹1,000–₹5,000"/>
    <x v="1"/>
  </r>
  <r>
    <s v="B0H1H33KGP"/>
    <x v="576"/>
    <x v="11"/>
    <n v="5999"/>
    <n v="9999"/>
    <n v="0.4"/>
    <n v="5"/>
    <n v="1"/>
    <n v="1"/>
    <b v="0"/>
    <b v="0"/>
    <b v="0"/>
    <b v="0"/>
    <d v="2026-06-05T00:00:00"/>
    <n v="5"/>
    <n v="5999"/>
    <s v="₹5,000–₹10,000"/>
    <x v="3"/>
  </r>
  <r>
    <s v="B0FP1KZR2S"/>
    <x v="577"/>
    <x v="11"/>
    <n v="679"/>
    <n v="1999"/>
    <n v="0.66"/>
    <n v="3.3"/>
    <n v="106"/>
    <n v="1"/>
    <b v="0"/>
    <b v="0"/>
    <b v="0"/>
    <b v="0"/>
    <d v="2026-06-05T00:00:00"/>
    <n v="349.79999999999995"/>
    <n v="679"/>
    <s v="₹500–₹1,000"/>
    <x v="1"/>
  </r>
  <r>
    <s v="B0FR451Q6T"/>
    <x v="578"/>
    <x v="11"/>
    <n v="3998"/>
    <n v="7999"/>
    <n v="0.5"/>
    <n v="3.5"/>
    <n v="11"/>
    <n v="1"/>
    <b v="0"/>
    <b v="0"/>
    <b v="0"/>
    <b v="0"/>
    <d v="2026-06-05T00:00:00"/>
    <n v="38.5"/>
    <n v="3998"/>
    <s v="₹1,000–₹5,000"/>
    <x v="1"/>
  </r>
  <r>
    <s v="B0GZLQ5L55"/>
    <x v="579"/>
    <x v="11"/>
    <n v="4930"/>
    <n v="9990"/>
    <n v="0.50700000000000001"/>
    <m/>
    <n v="0"/>
    <n v="1"/>
    <b v="0"/>
    <b v="0"/>
    <b v="0"/>
    <b v="0"/>
    <d v="2026-06-05T00:00:00"/>
    <s v=""/>
    <n v="4930"/>
    <s v="₹1,000–₹5,000"/>
    <x v="4"/>
  </r>
  <r>
    <s v="B0FJ8C5GGS"/>
    <x v="580"/>
    <x v="11"/>
    <n v="599"/>
    <n v="2000"/>
    <n v="0.7"/>
    <n v="4.2"/>
    <n v="6"/>
    <n v="1"/>
    <b v="0"/>
    <b v="0"/>
    <b v="0"/>
    <b v="0"/>
    <d v="2026-06-05T00:00:00"/>
    <n v="25.200000000000003"/>
    <n v="599"/>
    <s v="₹500–₹1,000"/>
    <x v="0"/>
  </r>
  <r>
    <s v="B0G3H32FGQ"/>
    <x v="581"/>
    <x v="11"/>
    <n v="589"/>
    <n v="1999"/>
    <n v="0.70499999999999996"/>
    <m/>
    <n v="0"/>
    <n v="1"/>
    <b v="0"/>
    <b v="0"/>
    <b v="0"/>
    <b v="0"/>
    <d v="2026-06-05T00:00:00"/>
    <s v=""/>
    <n v="589"/>
    <s v="₹500–₹1,000"/>
    <x v="4"/>
  </r>
  <r>
    <s v="B0FMSMSWH2"/>
    <x v="582"/>
    <x v="11"/>
    <n v="799"/>
    <m/>
    <m/>
    <n v="3.4"/>
    <n v="11"/>
    <n v="2"/>
    <b v="0"/>
    <b v="0"/>
    <b v="0"/>
    <b v="0"/>
    <d v="2026-06-05T00:00:00"/>
    <n v="37.4"/>
    <n v="799"/>
    <s v="₹500–₹1,000"/>
    <x v="1"/>
  </r>
  <r>
    <s v="B0GXZ7PMH9"/>
    <x v="583"/>
    <x v="11"/>
    <n v="599"/>
    <n v="1999"/>
    <n v="0.7"/>
    <m/>
    <n v="0"/>
    <n v="1"/>
    <b v="0"/>
    <b v="0"/>
    <b v="0"/>
    <b v="0"/>
    <d v="2026-06-05T00:00:00"/>
    <s v=""/>
    <n v="599"/>
    <s v="₹500–₹1,000"/>
    <x v="4"/>
  </r>
  <r>
    <s v="B09YH82G14"/>
    <x v="584"/>
    <x v="11"/>
    <n v="521"/>
    <n v="1299"/>
    <n v="0.59899999999999998"/>
    <n v="3.4"/>
    <n v="2323"/>
    <n v="1"/>
    <b v="0"/>
    <b v="0"/>
    <b v="0"/>
    <b v="0"/>
    <d v="2026-06-05T00:00:00"/>
    <n v="7898.2"/>
    <n v="521"/>
    <s v="₹500–₹1,000"/>
    <x v="1"/>
  </r>
  <r>
    <s v="B0GRBT3XRX"/>
    <x v="585"/>
    <x v="11"/>
    <n v="3519"/>
    <n v="6999"/>
    <n v="0.497"/>
    <n v="3"/>
    <n v="2"/>
    <n v="1"/>
    <b v="0"/>
    <b v="0"/>
    <b v="0"/>
    <b v="0"/>
    <d v="2026-06-05T00:00:00"/>
    <n v="6"/>
    <n v="3519"/>
    <s v="₹1,000–₹5,000"/>
    <x v="1"/>
  </r>
  <r>
    <s v="B0GWM9WT9H"/>
    <x v="586"/>
    <x v="11"/>
    <n v="1099"/>
    <n v="2999"/>
    <n v="0.63400000000000001"/>
    <n v="3.6"/>
    <n v="18"/>
    <n v="1"/>
    <b v="0"/>
    <b v="0"/>
    <b v="0"/>
    <b v="0"/>
    <d v="2026-06-05T00:00:00"/>
    <n v="64.8"/>
    <n v="1099"/>
    <s v="₹1,000–₹5,000"/>
    <x v="1"/>
  </r>
  <r>
    <s v="B0GG6H42F5"/>
    <x v="587"/>
    <x v="11"/>
    <n v="2549"/>
    <n v="6999"/>
    <n v="0.63600000000000001"/>
    <n v="3.7"/>
    <n v="29"/>
    <n v="1"/>
    <b v="0"/>
    <b v="0"/>
    <b v="0"/>
    <b v="0"/>
    <d v="2026-06-05T00:00:00"/>
    <n v="107.30000000000001"/>
    <n v="2549"/>
    <s v="₹1,000–₹5,000"/>
    <x v="1"/>
  </r>
  <r>
    <s v="B0GPM6198K"/>
    <x v="588"/>
    <x v="11"/>
    <n v="3699"/>
    <n v="6999"/>
    <n v="0.47099999999999997"/>
    <n v="3.4"/>
    <n v="14"/>
    <n v="1"/>
    <b v="0"/>
    <b v="0"/>
    <b v="0"/>
    <b v="0"/>
    <d v="2026-06-05T00:00:00"/>
    <n v="47.6"/>
    <n v="3699"/>
    <s v="₹1,000–₹5,000"/>
    <x v="1"/>
  </r>
  <r>
    <s v="B0G6DN6W5R"/>
    <x v="589"/>
    <x v="11"/>
    <n v="9499"/>
    <n v="17999"/>
    <n v="0.47199999999999998"/>
    <m/>
    <n v="0"/>
    <n v="1"/>
    <b v="0"/>
    <b v="0"/>
    <b v="0"/>
    <b v="0"/>
    <d v="2026-06-05T00:00:00"/>
    <s v=""/>
    <n v="9499"/>
    <s v="₹5,000–₹10,000"/>
    <x v="4"/>
  </r>
  <r>
    <s v="B0FPQJLZ5Q"/>
    <x v="590"/>
    <x v="11"/>
    <n v="6199"/>
    <n v="9999"/>
    <n v="0.38"/>
    <n v="3.3"/>
    <n v="7"/>
    <n v="1"/>
    <b v="0"/>
    <b v="0"/>
    <b v="0"/>
    <b v="0"/>
    <d v="2026-06-05T00:00:00"/>
    <n v="23.099999999999998"/>
    <n v="6199"/>
    <s v="₹5,000–₹10,000"/>
    <x v="1"/>
  </r>
  <r>
    <s v="B00E9891EK"/>
    <x v="591"/>
    <x v="11"/>
    <n v="358"/>
    <n v="750"/>
    <n v="0.52300000000000002"/>
    <n v="3.4"/>
    <n v="3595"/>
    <n v="1"/>
    <b v="0"/>
    <b v="0"/>
    <b v="0"/>
    <b v="0"/>
    <d v="2026-06-05T00:00:00"/>
    <n v="12223"/>
    <n v="358"/>
    <s v="Under ₹500"/>
    <x v="1"/>
  </r>
  <r>
    <s v="B0GRVX4TDV"/>
    <x v="592"/>
    <x v="11"/>
    <n v="548"/>
    <n v="1299"/>
    <n v="0.57799999999999996"/>
    <m/>
    <n v="0"/>
    <n v="1"/>
    <b v="0"/>
    <b v="0"/>
    <b v="0"/>
    <b v="0"/>
    <d v="2026-06-05T00:00:00"/>
    <s v=""/>
    <n v="548"/>
    <s v="₹500–₹1,000"/>
    <x v="4"/>
  </r>
  <r>
    <s v="B0FKPYJKFG"/>
    <x v="593"/>
    <x v="11"/>
    <n v="3990"/>
    <n v="7999"/>
    <n v="0.501"/>
    <n v="2.7"/>
    <n v="7"/>
    <n v="1"/>
    <b v="0"/>
    <b v="0"/>
    <b v="0"/>
    <b v="0"/>
    <d v="2026-06-05T00:00:00"/>
    <n v="18.900000000000002"/>
    <n v="3990"/>
    <s v="₹1,000–₹5,000"/>
    <x v="2"/>
  </r>
  <r>
    <s v="B0H22CH5LJ"/>
    <x v="594"/>
    <x v="11"/>
    <n v="7999"/>
    <n v="10999"/>
    <n v="0.27300000000000002"/>
    <m/>
    <n v="0"/>
    <n v="1"/>
    <b v="0"/>
    <b v="0"/>
    <b v="0"/>
    <b v="0"/>
    <d v="2026-06-05T00:00:00"/>
    <s v=""/>
    <n v="7999"/>
    <s v="₹5,000–₹10,000"/>
    <x v="4"/>
  </r>
  <r>
    <s v="B0G1V9LF2N"/>
    <x v="595"/>
    <x v="11"/>
    <n v="859"/>
    <n v="1589"/>
    <n v="0.45900000000000002"/>
    <n v="5"/>
    <n v="3"/>
    <n v="1"/>
    <b v="0"/>
    <b v="0"/>
    <b v="0"/>
    <b v="0"/>
    <d v="2026-06-05T00:00:00"/>
    <n v="15"/>
    <n v="859"/>
    <s v="₹500–₹1,000"/>
    <x v="3"/>
  </r>
  <r>
    <s v="B0FP19Y8SW"/>
    <x v="596"/>
    <x v="11"/>
    <n v="585"/>
    <n v="1299"/>
    <n v="0.55000000000000004"/>
    <n v="3.6"/>
    <n v="22"/>
    <n v="1"/>
    <b v="0"/>
    <b v="0"/>
    <b v="0"/>
    <b v="0"/>
    <d v="2026-06-05T00:00:00"/>
    <n v="79.2"/>
    <n v="585"/>
    <s v="₹500–₹1,000"/>
    <x v="1"/>
  </r>
  <r>
    <s v="B0FMYSB4SD"/>
    <x v="597"/>
    <x v="11"/>
    <n v="4490"/>
    <n v="9999"/>
    <n v="0.55100000000000005"/>
    <n v="3.7"/>
    <n v="8"/>
    <n v="1"/>
    <b v="0"/>
    <b v="0"/>
    <b v="0"/>
    <b v="0"/>
    <d v="2026-06-05T00:00:00"/>
    <n v="29.6"/>
    <n v="4490"/>
    <s v="₹1,000–₹5,000"/>
    <x v="1"/>
  </r>
  <r>
    <s v="B0H2LXXMY6"/>
    <x v="598"/>
    <x v="11"/>
    <n v="3990"/>
    <n v="9999"/>
    <n v="0.60099999999999998"/>
    <n v="5"/>
    <n v="2"/>
    <n v="1"/>
    <b v="0"/>
    <b v="0"/>
    <b v="0"/>
    <b v="0"/>
    <d v="2026-06-05T00:00:00"/>
    <n v="10"/>
    <n v="3990"/>
    <s v="₹1,000–₹5,000"/>
    <x v="3"/>
  </r>
  <r>
    <s v="B0D2JGYX3F"/>
    <x v="599"/>
    <x v="11"/>
    <n v="39888"/>
    <n v="69999"/>
    <n v="0.43"/>
    <n v="4.7"/>
    <n v="4339"/>
    <n v="1"/>
    <b v="0"/>
    <b v="0"/>
    <b v="0"/>
    <b v="0"/>
    <d v="2026-06-05T00:00:00"/>
    <n v="20393.3"/>
    <n v="39888"/>
    <s v="Above ₹10,000"/>
    <x v="3"/>
  </r>
  <r>
    <s v="B0DM96R9T4"/>
    <x v="600"/>
    <x v="11"/>
    <n v="1579"/>
    <n v="1599"/>
    <n v="1.2999999999999999E-2"/>
    <n v="3.7"/>
    <n v="36"/>
    <n v="1"/>
    <b v="0"/>
    <b v="0"/>
    <b v="0"/>
    <b v="0"/>
    <d v="2026-06-05T00:00:00"/>
    <n v="133.20000000000002"/>
    <n v="1579"/>
    <s v="₹1,000–₹5,000"/>
    <x v="1"/>
  </r>
  <r>
    <s v="B0CWNW1FSG"/>
    <x v="601"/>
    <x v="11"/>
    <n v="6990"/>
    <m/>
    <m/>
    <n v="3.8"/>
    <n v="81"/>
    <n v="1"/>
    <b v="0"/>
    <b v="0"/>
    <b v="0"/>
    <b v="0"/>
    <d v="2026-06-05T00:00:00"/>
    <n v="307.8"/>
    <n v="6990"/>
    <s v="₹5,000–₹10,000"/>
    <x v="1"/>
  </r>
  <r>
    <s v="B0H27854GY"/>
    <x v="602"/>
    <x v="11"/>
    <n v="7999"/>
    <n v="10999"/>
    <n v="0.27300000000000002"/>
    <m/>
    <n v="0"/>
    <n v="1"/>
    <b v="0"/>
    <b v="0"/>
    <b v="0"/>
    <b v="0"/>
    <d v="2026-06-05T00:00:00"/>
    <s v=""/>
    <n v="7999"/>
    <s v="₹5,000–₹10,000"/>
    <x v="4"/>
  </r>
  <r>
    <s v="B0F5N6LWVR"/>
    <x v="603"/>
    <x v="11"/>
    <n v="5250"/>
    <n v="5299"/>
    <n v="8.9999999999999993E-3"/>
    <n v="3.5"/>
    <n v="3"/>
    <n v="1"/>
    <b v="0"/>
    <b v="0"/>
    <b v="0"/>
    <b v="0"/>
    <d v="2026-06-05T00:00:00"/>
    <n v="10.5"/>
    <n v="5250"/>
    <s v="₹5,000–₹10,000"/>
    <x v="1"/>
  </r>
  <r>
    <s v="B0GWQ7YQPB"/>
    <x v="604"/>
    <x v="11"/>
    <n v="4990"/>
    <n v="6999"/>
    <n v="0.28699999999999998"/>
    <n v="3.3"/>
    <n v="16"/>
    <n v="1"/>
    <b v="0"/>
    <b v="0"/>
    <b v="0"/>
    <b v="0"/>
    <d v="2026-06-05T00:00:00"/>
    <n v="52.8"/>
    <n v="4990"/>
    <s v="₹1,000–₹5,000"/>
    <x v="1"/>
  </r>
  <r>
    <s v="B0CR8GPW2V"/>
    <x v="605"/>
    <x v="11"/>
    <n v="899"/>
    <n v="1599"/>
    <n v="0.438"/>
    <n v="4.8"/>
    <n v="4"/>
    <n v="1"/>
    <b v="0"/>
    <b v="0"/>
    <b v="0"/>
    <b v="0"/>
    <d v="2026-06-05T00:00:00"/>
    <n v="19.2"/>
    <n v="899"/>
    <s v="₹500–₹1,000"/>
    <x v="3"/>
  </r>
  <r>
    <s v="B0FCR5ZD7R"/>
    <x v="606"/>
    <x v="11"/>
    <n v="4900"/>
    <n v="6990"/>
    <n v="0.29899999999999999"/>
    <n v="3.2"/>
    <n v="75"/>
    <n v="1"/>
    <b v="0"/>
    <b v="0"/>
    <b v="0"/>
    <b v="0"/>
    <d v="2026-06-05T00:00:00"/>
    <n v="240"/>
    <n v="4900"/>
    <s v="₹1,000–₹5,000"/>
    <x v="1"/>
  </r>
  <r>
    <s v="B0H26B34WQ"/>
    <x v="607"/>
    <x v="11"/>
    <n v="4999"/>
    <n v="6999"/>
    <n v="0.28599999999999998"/>
    <m/>
    <n v="0"/>
    <n v="1"/>
    <b v="0"/>
    <b v="0"/>
    <b v="0"/>
    <b v="0"/>
    <d v="2026-06-05T00:00:00"/>
    <s v=""/>
    <n v="4999"/>
    <s v="₹1,000–₹5,000"/>
    <x v="4"/>
  </r>
  <r>
    <s v="B0GDZ42HK1"/>
    <x v="608"/>
    <x v="11"/>
    <n v="1799"/>
    <n v="5889"/>
    <n v="0.69499999999999995"/>
    <m/>
    <n v="0"/>
    <n v="1"/>
    <b v="0"/>
    <b v="0"/>
    <b v="0"/>
    <b v="0"/>
    <d v="2026-06-05T00:00:00"/>
    <s v=""/>
    <n v="1799"/>
    <s v="₹1,000–₹5,000"/>
    <x v="4"/>
  </r>
  <r>
    <s v="B0GWMMDBKP"/>
    <x v="609"/>
    <x v="11"/>
    <n v="4849"/>
    <n v="6999"/>
    <n v="0.307"/>
    <n v="4.3"/>
    <n v="9"/>
    <n v="1"/>
    <b v="0"/>
    <b v="0"/>
    <b v="0"/>
    <b v="0"/>
    <d v="2026-06-05T00:00:00"/>
    <n v="38.699999999999996"/>
    <n v="4849"/>
    <s v="₹1,000–₹5,000"/>
    <x v="0"/>
  </r>
  <r>
    <s v="B0DHQXRH1S"/>
    <x v="610"/>
    <x v="11"/>
    <n v="499"/>
    <n v="999"/>
    <n v="0.501"/>
    <n v="1"/>
    <n v="1"/>
    <n v="1"/>
    <b v="0"/>
    <b v="0"/>
    <b v="0"/>
    <b v="0"/>
    <d v="2026-06-05T00:00:00"/>
    <n v="1"/>
    <n v="499"/>
    <s v="Under ₹500"/>
    <x v="5"/>
  </r>
  <r>
    <s v="B0F6FV8BSR"/>
    <x v="611"/>
    <x v="11"/>
    <n v="777"/>
    <n v="1499"/>
    <n v="0.48199999999999998"/>
    <n v="3.8"/>
    <n v="29"/>
    <n v="1"/>
    <b v="0"/>
    <b v="0"/>
    <b v="0"/>
    <b v="0"/>
    <d v="2026-06-05T00:00:00"/>
    <n v="110.19999999999999"/>
    <n v="777"/>
    <s v="₹500–₹1,000"/>
    <x v="1"/>
  </r>
  <r>
    <s v="B0H1QKTDBT"/>
    <x v="612"/>
    <x v="11"/>
    <n v="3399"/>
    <n v="9999"/>
    <n v="0.66"/>
    <m/>
    <n v="0"/>
    <n v="1"/>
    <b v="0"/>
    <b v="0"/>
    <b v="0"/>
    <b v="0"/>
    <d v="2026-06-05T00:00:00"/>
    <s v=""/>
    <n v="3399"/>
    <s v="₹1,000–₹5,000"/>
    <x v="4"/>
  </r>
  <r>
    <s v="B0H21QN4GX"/>
    <x v="613"/>
    <x v="11"/>
    <n v="1999"/>
    <n v="3999"/>
    <n v="0.5"/>
    <m/>
    <n v="0"/>
    <n v="1"/>
    <b v="0"/>
    <b v="0"/>
    <b v="0"/>
    <b v="0"/>
    <d v="2026-06-05T00:00:00"/>
    <s v=""/>
    <n v="1999"/>
    <s v="₹1,000–₹5,000"/>
    <x v="4"/>
  </r>
  <r>
    <s v="B0FFTCW4C7"/>
    <x v="614"/>
    <x v="11"/>
    <n v="799"/>
    <n v="1599"/>
    <n v="0.5"/>
    <n v="3.6"/>
    <n v="42"/>
    <n v="1"/>
    <b v="0"/>
    <b v="0"/>
    <b v="0"/>
    <b v="0"/>
    <d v="2026-06-05T00:00:00"/>
    <n v="151.20000000000002"/>
    <n v="799"/>
    <s v="₹500–₹1,000"/>
    <x v="1"/>
  </r>
  <r>
    <s v="B0F7H338CZ"/>
    <x v="615"/>
    <x v="11"/>
    <n v="592"/>
    <n v="1399"/>
    <n v="0.57699999999999996"/>
    <n v="3.3"/>
    <n v="179"/>
    <n v="1"/>
    <b v="0"/>
    <b v="0"/>
    <b v="0"/>
    <b v="0"/>
    <d v="2026-06-05T00:00:00"/>
    <n v="590.69999999999993"/>
    <n v="592"/>
    <s v="₹500–₹1,000"/>
    <x v="1"/>
  </r>
  <r>
    <s v="B0DV9MB616"/>
    <x v="616"/>
    <x v="11"/>
    <n v="4948"/>
    <n v="7999"/>
    <n v="0.38100000000000001"/>
    <n v="2.9"/>
    <n v="15"/>
    <n v="1"/>
    <b v="0"/>
    <b v="0"/>
    <b v="0"/>
    <b v="0"/>
    <d v="2026-06-05T00:00:00"/>
    <n v="43.5"/>
    <n v="4948"/>
    <s v="₹1,000–₹5,000"/>
    <x v="2"/>
  </r>
  <r>
    <s v="B0CY9169L2"/>
    <x v="617"/>
    <x v="11"/>
    <n v="9700"/>
    <n v="9999"/>
    <n v="0.03"/>
    <n v="3.9"/>
    <n v="15"/>
    <n v="1"/>
    <b v="0"/>
    <b v="0"/>
    <b v="0"/>
    <b v="0"/>
    <d v="2026-06-05T00:00:00"/>
    <n v="58.5"/>
    <n v="9700"/>
    <s v="₹5,000–₹10,000"/>
    <x v="1"/>
  </r>
  <r>
    <s v="B0GXPL2ZTD"/>
    <x v="618"/>
    <x v="11"/>
    <n v="4589"/>
    <n v="8999"/>
    <n v="0.49"/>
    <m/>
    <n v="0"/>
    <n v="1"/>
    <b v="0"/>
    <b v="0"/>
    <b v="0"/>
    <b v="0"/>
    <d v="2026-06-05T00:00:00"/>
    <s v=""/>
    <n v="4589"/>
    <s v="₹1,000–₹5,000"/>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s v="B0FN7QTRPY"/>
    <s v="Samsung Galaxy M07 Mobile (Black, 4GB RAM, 64GB Storage) | MediaTek Helio G99 | AnTuTu 624K | IP54| 50MP Camera | 7.6mm Slim | 5000mAh Battery | 25W Fast Charging | 6 Gen OS Upgrades | Without Charger"/>
    <s v="Smartphone"/>
    <n v="9999"/>
    <n v="10999"/>
    <n v="9.0999999999999998E-2"/>
    <n v="4.2"/>
    <n v="1550"/>
    <n v="1"/>
    <b v="0"/>
    <b v="0"/>
    <b v="0"/>
    <b v="0"/>
    <d v="2026-06-05T00:00:00"/>
    <n v="6510"/>
    <n v="9999"/>
    <x v="0"/>
    <s v="4.0–4.4"/>
  </r>
  <r>
    <s v="B0GFW1BJ1D"/>
    <s v="realme C71 4G Smartphone 6GB+128GB,6.745 inch Screen, 90Hz Eye Comfort Display, 6300mAh Battery, 37MP Cameras, Unisoc T7250 Chip, IP54, Sea Blue"/>
    <s v="Smartphone"/>
    <n v="13999"/>
    <m/>
    <m/>
    <n v="3.8"/>
    <n v="303"/>
    <n v="1"/>
    <b v="0"/>
    <b v="0"/>
    <b v="0"/>
    <b v="0"/>
    <d v="2026-06-05T00:00:00"/>
    <n v="1151.3999999999999"/>
    <n v="13999"/>
    <x v="1"/>
    <s v="3.0–3.9"/>
  </r>
  <r>
    <s v="B0FT7T3GZF"/>
    <s v="SAMSUNG Galaxy F07 (Green, 64 GB) (4 GB RAM)"/>
    <s v="Smartphone"/>
    <n v="10168"/>
    <n v="10999"/>
    <n v="7.5999999999999998E-2"/>
    <n v="3.7"/>
    <n v="137"/>
    <n v="1"/>
    <b v="0"/>
    <b v="0"/>
    <b v="0"/>
    <b v="0"/>
    <d v="2026-06-05T00:00:00"/>
    <n v="506.90000000000003"/>
    <n v="10168"/>
    <x v="1"/>
    <s v="3.0–3.9"/>
  </r>
  <r>
    <s v="B0H1B6WTN3"/>
    <s v="realme NARZO 80 Lite 4G (Beach Gold 2026, 4GB+64GB) | 6300mAh Segment&amp;#x27;s Biggest Battery | 7.94mm Slim Design | 300% Ultra Volume | Pulse Light: 9 Colors, 5 Glow Modes | Ai Assist"/>
    <s v="Smartphone"/>
    <n v="11999"/>
    <n v="16999"/>
    <n v="0.29399999999999998"/>
    <n v="4.2"/>
    <n v="2964"/>
    <n v="1"/>
    <b v="0"/>
    <b v="0"/>
    <b v="0"/>
    <b v="0"/>
    <d v="2026-06-05T00:00:00"/>
    <n v="12448.800000000001"/>
    <n v="11999"/>
    <x v="1"/>
    <s v="4.0–4.4"/>
  </r>
  <r>
    <s v="B0G49YZTTW"/>
    <s v="realme NARZO 90 5G (Carbon Black,8GB+128GB) | 7000mAh Biggest Battery | 60W Fastest Charging | 50MP Front &amp;amp; Rear AI Cameras | 4000nits Brightest Display | AI Assist | IP69 Dust &amp;amp; Water Resistance"/>
    <s v="Smartphone"/>
    <n v="19999"/>
    <m/>
    <m/>
    <n v="4.0999999999999996"/>
    <n v="978"/>
    <n v="1"/>
    <b v="0"/>
    <b v="0"/>
    <b v="1"/>
    <b v="0"/>
    <d v="2026-06-05T00:00:00"/>
    <n v="4009.7999999999997"/>
    <n v="19999"/>
    <x v="1"/>
    <s v="4.0–4.4"/>
  </r>
  <r>
    <s v="B0GVYXPZBS"/>
    <s v="OnePlus Nord CE6 Lite | 8GB+128GB | Hyper Black | Segment&amp;#x27;s Fastest Dimensity 7400 Apex Processor | 7000mAh Battery | Segment&amp;#x27;s Highest 144Hz Refresh Rate | 50MP Main Camera, 4K Video Recording"/>
    <s v="Smartphone"/>
    <n v="25998"/>
    <n v="33999"/>
    <n v="0.23499999999999999"/>
    <n v="4.2"/>
    <n v="318"/>
    <n v="1"/>
    <b v="0"/>
    <b v="0"/>
    <b v="0"/>
    <b v="0"/>
    <d v="2026-06-05T00:00:00"/>
    <n v="1335.6000000000001"/>
    <n v="25998"/>
    <x v="1"/>
    <s v="4.0–4.4"/>
  </r>
  <r>
    <s v="B0DX6P3RX9"/>
    <s v="Samsung Galaxy M06 5G Mobile (Sage Green, 4GB RAM, 128GB Storage) | MediaTek Dimensity 6300 | AnTuTu 623K+ | 12 5G Bands | 25W Fast Charging | 4 Gen OS Upgrades | 50MP Camera | Without Charger"/>
    <s v="Smartphone"/>
    <n v="13999"/>
    <m/>
    <m/>
    <n v="4"/>
    <n v="2865"/>
    <n v="1"/>
    <b v="0"/>
    <b v="0"/>
    <b v="0"/>
    <b v="0"/>
    <d v="2026-06-05T00:00:00"/>
    <n v="11460"/>
    <n v="13999"/>
    <x v="1"/>
    <s v="4.0–4.4"/>
  </r>
  <r>
    <s v="B0GS97F668"/>
    <s v="Pro 10 -Mini 4G Smartphone 4.5&amp;quot; Display | 3GB RAM 32GB Storage (Up to 128GB) | Dual SIM | 2350mAh Battery | Type-C Charging | Android Phone for Travel, Kids &amp;amp; Backup Use | Color as per Stock"/>
    <s v="Smartphone"/>
    <n v="4999"/>
    <n v="10990"/>
    <n v="0.54500000000000004"/>
    <n v="3"/>
    <n v="6"/>
    <n v="1"/>
    <b v="0"/>
    <b v="0"/>
    <b v="0"/>
    <b v="0"/>
    <d v="2026-06-05T00:00:00"/>
    <n v="18"/>
    <n v="4999"/>
    <x v="2"/>
    <s v="3.0–3.9"/>
  </r>
  <r>
    <s v="B0F8ZVRLZB"/>
    <s v="Samsung Galaxy F06 5G, Lit Voilet (6GB, 128GB)"/>
    <s v="Smartphone"/>
    <n v="14094"/>
    <n v="15499"/>
    <n v="9.0999999999999998E-2"/>
    <n v="4.2"/>
    <n v="129"/>
    <n v="12"/>
    <b v="0"/>
    <b v="0"/>
    <b v="0"/>
    <b v="0"/>
    <d v="2026-06-05T00:00:00"/>
    <n v="541.80000000000007"/>
    <n v="14094"/>
    <x v="1"/>
    <s v="4.0–4.4"/>
  </r>
  <r>
    <s v="B0DYP4NYYJ"/>
    <s v="Samsung Galaxy F06 5G, Bahama Blue (4GB, 128GB)"/>
    <s v="Smartphone"/>
    <n v="12990"/>
    <n v="13999"/>
    <n v="7.1999999999999995E-2"/>
    <n v="4.0999999999999996"/>
    <n v="823"/>
    <n v="13"/>
    <b v="0"/>
    <b v="0"/>
    <b v="0"/>
    <b v="0"/>
    <d v="2026-06-05T00:00:00"/>
    <n v="3374.2999999999997"/>
    <n v="12990"/>
    <x v="1"/>
    <s v="4.0–4.4"/>
  </r>
  <r>
    <s v="B0GTQ5X45R"/>
    <s v="acerpure Acerone Liquid 4G Smartphone (Blue, 4GB RAM, 64GB Storage) with 6.5&amp;quot; IPS Display, 20MP Rear Camera, 5000mAh Battery, Android 14, Octa-Core MT6765 Processor"/>
    <s v="Smartphone"/>
    <n v="7999"/>
    <n v="18900"/>
    <n v="0.57699999999999996"/>
    <n v="3.4"/>
    <n v="26"/>
    <n v="2"/>
    <b v="0"/>
    <b v="0"/>
    <b v="0"/>
    <b v="0"/>
    <d v="2026-06-05T00:00:00"/>
    <n v="88.399999999999991"/>
    <n v="7999"/>
    <x v="0"/>
    <s v="3.0–3.9"/>
  </r>
  <r>
    <s v="B0GS5Y7QBF"/>
    <s v="REDMI A7 Pro 5G (Mist Blue, 4GB RAM, 64GB Storage) | Segment&amp;#x27;s Fastest Processor | Segment&amp;#x27;s Largest Battery | Segment&amp;#x27;s Largest &amp;amp; Smoothest 6.9in 120Hz Display"/>
    <s v="Smartphone"/>
    <n v="12999"/>
    <n v="15999"/>
    <n v="0.188"/>
    <n v="3.6"/>
    <n v="569"/>
    <n v="1"/>
    <b v="0"/>
    <b v="0"/>
    <b v="0"/>
    <b v="0"/>
    <d v="2026-06-05T00:00:00"/>
    <n v="2048.4"/>
    <n v="12999"/>
    <x v="1"/>
    <s v="3.0–3.9"/>
  </r>
  <r>
    <s v="B0GTRHJYYF"/>
    <s v="realme narzo 100 Lite 5G (Frost Silver,4GB+128GB) | 7000mAh Titan Battery | 4 Years, Zero Lag | 144 Hz Ultra Smooth Display | 6 nm Octa-core 5G Chipset | Color Pop Design | VC Cooling"/>
    <s v="Smartphone"/>
    <n v="15998"/>
    <n v="27999"/>
    <n v="0.42899999999999999"/>
    <n v="3.9"/>
    <n v="99"/>
    <n v="1"/>
    <b v="0"/>
    <b v="0"/>
    <b v="0"/>
    <b v="0"/>
    <d v="2026-06-05T00:00:00"/>
    <n v="386.09999999999997"/>
    <n v="15998"/>
    <x v="1"/>
    <s v="3.0–3.9"/>
  </r>
  <r>
    <s v="B0GN16HF5W"/>
    <s v="Samsung Galaxy M17e 5G Mobile (Blitz Blue, 6GB RAM, 128GB Storage) | Smoothest 120 Hz Refresh Rate| Monster 6000 mAh Battery | IP54 | 6 Gen OS Upgrades | AI | Gemini Live | Without Charger"/>
    <s v="Smartphone"/>
    <n v="15999"/>
    <n v="20999"/>
    <n v="0.23799999999999999"/>
    <n v="3.5"/>
    <n v="37"/>
    <n v="1"/>
    <b v="0"/>
    <b v="0"/>
    <b v="0"/>
    <b v="0"/>
    <d v="2026-06-05T00:00:00"/>
    <n v="129.5"/>
    <n v="15999"/>
    <x v="1"/>
    <s v="3.0–3.9"/>
  </r>
  <r>
    <s v="B0GPDJ1PRN"/>
    <s v="OPPO K14x 5G Smartphone, 6GB RAM, 128GB Storage, ICY Blue, Dual Camera, 48-Month Fluency Protection"/>
    <s v="Smartphone"/>
    <n v="17630"/>
    <n v="23999"/>
    <n v="0.26500000000000001"/>
    <n v="3.8"/>
    <n v="34"/>
    <n v="1"/>
    <b v="0"/>
    <b v="0"/>
    <b v="0"/>
    <b v="0"/>
    <d v="2026-06-05T00:00:00"/>
    <n v="129.19999999999999"/>
    <n v="17630"/>
    <x v="1"/>
    <s v="3.0–3.9"/>
  </r>
  <r>
    <s v="B0GVG27VS7"/>
    <s v="REDMI A7 Pro 4G (Black, 4GB RAM, 64GB Storage) | Segment&amp;#x27;s Slimmest Smartphone | Segment&amp;#x27;s Largest 6300mAh Battery | Segment&amp;#x27;s Largest 17.53cm and Smoothest 120Hz Display | Charger in the Box"/>
    <s v="Smartphone"/>
    <n v="12499"/>
    <n v="15999"/>
    <n v="0.219"/>
    <n v="3.5"/>
    <n v="23"/>
    <n v="2"/>
    <b v="0"/>
    <b v="0"/>
    <b v="0"/>
    <b v="0"/>
    <d v="2026-06-05T00:00:00"/>
    <n v="80.5"/>
    <n v="12499"/>
    <x v="1"/>
    <s v="3.0–3.9"/>
  </r>
  <r>
    <s v="B0GRBHNCTZ"/>
    <s v="OnePlus Nord 6 | 12GB+256GB | Fresh Mint | Snapdragon 8s Gen 4 | Segment&amp;#x27;s First Stable 165FPS Gaming | Segment&amp;#x27;s Largest 9000mAh Battery | Most Complete IP Rating | Personalized AI"/>
    <s v="Smartphone"/>
    <n v="47998"/>
    <n v="56999"/>
    <n v="0.158"/>
    <n v="4.3"/>
    <n v="1180"/>
    <n v="1"/>
    <b v="0"/>
    <b v="0"/>
    <b v="0"/>
    <b v="0"/>
    <d v="2026-06-05T00:00:00"/>
    <n v="5074"/>
    <n v="47998"/>
    <x v="1"/>
    <s v="4.0–4.4"/>
  </r>
  <r>
    <s v="B0GP7BD27Q"/>
    <s v="iQOO Z11x 5G (Titan Black, 6GB RAM, 128 GB Storage) | Dimensity 7400-Turbo Processor | 7200 mAh Battery | 4K Video Recording Front &amp;amp; Back | IP68 &amp;amp; IP69+ | Powered by OriginOS 6"/>
    <s v="Smartphone"/>
    <n v="22999"/>
    <n v="28999"/>
    <n v="0.20699999999999999"/>
    <n v="4.2"/>
    <n v="827"/>
    <n v="1"/>
    <b v="0"/>
    <b v="0"/>
    <b v="0"/>
    <b v="0"/>
    <d v="2026-06-05T00:00:00"/>
    <n v="3473.4"/>
    <n v="22999"/>
    <x v="1"/>
    <s v="4.0–4.4"/>
  </r>
  <r>
    <s v="B0F43WXC8K"/>
    <s v="Samsung Galaxy M56 5G Mobile (Black, 8GB RAM, 128GB Storage)| Segment Slimmest | Gorilla Glass Victus+ | 10 Bit HDR Video | 50MP Camera | AI | Vapour Cooling Chamber | Lag-free Gaming| Without Charger"/>
    <s v="Smartphone"/>
    <n v="23498"/>
    <n v="33999"/>
    <n v="0.309"/>
    <n v="4.3"/>
    <n v="1943"/>
    <n v="1"/>
    <b v="0"/>
    <b v="0"/>
    <b v="0"/>
    <b v="0"/>
    <d v="2026-06-05T00:00:00"/>
    <n v="8354.9"/>
    <n v="23498"/>
    <x v="1"/>
    <s v="4.0–4.4"/>
  </r>
  <r>
    <s v="B0F1D9LCK3"/>
    <s v="realme NARZO 80 Pro 5G (Speed Silver,8GB+256GB) | Segment&amp;#x27;s 1st MediaTek Dimensity 7400 Chipset | 6000mAh Titan Battery + 80W Ultra Charge | 4500nits HyperGlow Esports Display | IP69 Waterproof"/>
    <s v="Smartphone"/>
    <n v="23999"/>
    <n v="25999"/>
    <n v="7.6999999999999999E-2"/>
    <n v="4.3"/>
    <n v="2832"/>
    <n v="1"/>
    <b v="0"/>
    <b v="0"/>
    <b v="0"/>
    <b v="0"/>
    <d v="2026-06-05T00:00:00"/>
    <n v="12177.6"/>
    <n v="23999"/>
    <x v="1"/>
    <s v="4.0–4.4"/>
  </r>
  <r>
    <s v="B0FN7RN9TH"/>
    <s v="Samsung Galaxy M17 5G Mobile (Sapphire Black, 4GB RAM, 128GB Storage) | 50MP OIS Triple Camera | Gorilla Glass Victus | IP54 | 6 Gen OS Upgrades | AI | Gemini Live | Lag-Free Gaming | Without Charger"/>
    <s v="Smartphone"/>
    <n v="14999"/>
    <n v="16499"/>
    <n v="9.0999999999999998E-2"/>
    <n v="4"/>
    <n v="2910"/>
    <n v="1"/>
    <b v="0"/>
    <b v="0"/>
    <b v="0"/>
    <b v="0"/>
    <d v="2026-06-05T00:00:00"/>
    <n v="11640"/>
    <n v="14999"/>
    <x v="1"/>
    <s v="4.0–4.4"/>
  </r>
  <r>
    <s v="B0G29VSZF6"/>
    <s v="REDMI 15C 5G Dusk Purple 8GB + 128GB | Royale Design | Massive 6000mAh Battery | Segment&amp;#x27;s Largest 17.53cm Display Up to 120Hz | MediaTek Dimensity 6300 | 33W Fast Charging | 50MP AI Dual Camera"/>
    <s v="Smartphone"/>
    <n v="20999"/>
    <n v="33999"/>
    <n v="0.38200000000000001"/>
    <n v="3.9"/>
    <n v="727"/>
    <n v="1"/>
    <b v="0"/>
    <b v="0"/>
    <b v="0"/>
    <b v="0"/>
    <d v="2026-06-05T00:00:00"/>
    <n v="2835.2999999999997"/>
    <n v="20999"/>
    <x v="1"/>
    <s v="3.0–3.9"/>
  </r>
  <r>
    <s v="B0GN1P5CSY"/>
    <s v="Samsung Galaxy M17e 5G Mobile (Vibe Violet, 4GB RAM, 128GB Storage) | Smoothest 120 Hz Refresh Rate| Monster 6000 mAh Battery | IP54 | 6 Gen OS Upgrades | AI | Gemini Live | Without Charger"/>
    <s v="Smartphone"/>
    <n v="13999"/>
    <n v="16999"/>
    <n v="0.17599999999999999"/>
    <n v="3.9"/>
    <n v="249"/>
    <n v="1"/>
    <b v="0"/>
    <b v="0"/>
    <b v="0"/>
    <b v="0"/>
    <d v="2026-06-05T00:00:00"/>
    <n v="971.1"/>
    <n v="13999"/>
    <x v="1"/>
    <s v="3.0–3.9"/>
  </r>
  <r>
    <s v="B0GSVFNTBW"/>
    <s v="SHIVANSH 14 Pro Mini 4G Smartphone | 3GB RAM 32GB Storage (Expandable 128GB) | 4.05 Inch Compact Display | Dual SIM | Android 12 | Type-C Charging | Pocket Size Mobile (Color as per Stock)"/>
    <s v="Smartphone"/>
    <n v="4890"/>
    <n v="10990"/>
    <n v="0.55500000000000005"/>
    <n v="2.6"/>
    <n v="7"/>
    <n v="1"/>
    <b v="0"/>
    <b v="0"/>
    <b v="0"/>
    <b v="0"/>
    <d v="2026-06-05T00:00:00"/>
    <n v="18.2"/>
    <n v="4890"/>
    <x v="2"/>
    <s v="2.0–2.9"/>
  </r>
  <r>
    <s v="B0GL1WGHJX"/>
    <s v="Lava Bold N2 (Indus Black, 4 GB RAM, 64 GB Storage) | 13MP AI Dual Rear Camera | Largest 6.75&amp;quot; HD+ Display | 5000 mAh Battery &amp;amp; 10W Charging | IP64 Water &amp;amp; Dust Proof | Charger &amp;amp; Phone-Case in Box"/>
    <s v="Smartphone"/>
    <n v="8899"/>
    <n v="10499"/>
    <n v="0.152"/>
    <n v="3.6"/>
    <n v="149"/>
    <n v="1"/>
    <b v="0"/>
    <b v="0"/>
    <b v="0"/>
    <b v="0"/>
    <d v="2026-06-05T00:00:00"/>
    <n v="536.4"/>
    <n v="8899"/>
    <x v="0"/>
    <s v="3.0–3.9"/>
  </r>
  <r>
    <s v="B0FJFSHJ6Z"/>
    <s v="Redmi 15 5G Midnight Black 8GB + 256GB | Segment&amp;#x27;s Largest 7000mAhA Battery | Segment&amp;#x27;s Largest Display 17.53cm(6.9) Up to 144Hz | Snapdragon 6s Gen 3 | 18W Reverse Charging | 50MP AI Dual Camera"/>
    <s v="Smartphone"/>
    <n v="24499"/>
    <n v="36999"/>
    <n v="0.33800000000000002"/>
    <n v="4.0999999999999996"/>
    <n v="2138"/>
    <n v="1"/>
    <b v="0"/>
    <b v="0"/>
    <b v="0"/>
    <b v="0"/>
    <d v="2026-06-05T00:00:00"/>
    <n v="8765.7999999999993"/>
    <n v="24499"/>
    <x v="1"/>
    <s v="4.0–4.4"/>
  </r>
  <r>
    <s v="B0GP88QJL8"/>
    <s v="Google Pixel 10a 5G (Obsidian, 8GB RAM, 256GB Storage)"/>
    <s v="Smartphone"/>
    <n v="48250"/>
    <n v="49999"/>
    <n v="3.5000000000000003E-2"/>
    <n v="4.3"/>
    <n v="69"/>
    <n v="1"/>
    <b v="0"/>
    <b v="0"/>
    <b v="0"/>
    <b v="0"/>
    <d v="2026-06-05T00:00:00"/>
    <n v="296.7"/>
    <n v="48250"/>
    <x v="1"/>
    <s v="4.0–4.4"/>
  </r>
  <r>
    <s v="B0FZSXYV6K"/>
    <s v="OnePlus 15R | 12GB+512GB | Charcoal Black | World&amp;#x27;s First SnapdragonÂ® 8 Gen 5 | 7400mAh Battery | Personalised AI | Game-Changing 165Hz Display | IP68 IP69 IP66 &amp;amp; IP69K | 4K 120fps Video"/>
    <s v="Smartphone"/>
    <n v="59999"/>
    <m/>
    <m/>
    <n v="4.5"/>
    <n v="1585"/>
    <n v="1"/>
    <b v="0"/>
    <b v="0"/>
    <b v="0"/>
    <b v="0"/>
    <d v="2026-06-05T00:00:00"/>
    <n v="7132.5"/>
    <n v="59999"/>
    <x v="1"/>
    <s v="4.5–5.0"/>
  </r>
  <r>
    <s v="B0GS5SM6JR"/>
    <s v="REDMI A7 Pro 5G (Black, 4GB RAM, 64GB Storage) | Segment&amp;#x27;s Fastest Processor | Segment&amp;#x27;s Largest Battery | Segment&amp;#x27;s Largest &amp;amp; Smoothest 6.9in 120Hz Display"/>
    <s v="Smartphone"/>
    <n v="12999"/>
    <n v="15999"/>
    <n v="0.188"/>
    <n v="3.6"/>
    <n v="569"/>
    <n v="1"/>
    <b v="0"/>
    <b v="0"/>
    <b v="0"/>
    <b v="0"/>
    <d v="2026-06-05T00:00:00"/>
    <n v="2048.4"/>
    <n v="12999"/>
    <x v="1"/>
    <s v="3.0–3.9"/>
  </r>
  <r>
    <s v="B0FW3RP8YJ"/>
    <s v="Samsung Galaxy A17 5G (Blue, 6GB RAM, 128GB Storage) | 50 MP No Shake Camera | Gemini Live | Circle to Search | Super AMOLED | Corning Gorilla Glass Victus | 7.5mm Sleek | AI"/>
    <s v="Smartphone"/>
    <n v="20499"/>
    <n v="22999"/>
    <n v="0.109"/>
    <n v="4.0999999999999996"/>
    <n v="151"/>
    <n v="1"/>
    <b v="0"/>
    <b v="0"/>
    <b v="0"/>
    <b v="0"/>
    <d v="2026-06-05T00:00:00"/>
    <n v="619.09999999999991"/>
    <n v="20499"/>
    <x v="1"/>
    <s v="4.0–4.4"/>
  </r>
  <r>
    <s v="B0GS5V95DB"/>
    <s v="REDMI A7 Pro 5G (Sunset Orange, 4GB RAM,128GB Storage) | Segment&amp;#x27;s Fastest Processor | Segment&amp;#x27;s Largest Battery | Segment&amp;#x27;s Largest &amp;amp; Smoothest 6.9in 120Hz Display"/>
    <s v="Smartphone"/>
    <n v="13999"/>
    <n v="16999"/>
    <n v="0.17599999999999999"/>
    <n v="3.6"/>
    <n v="569"/>
    <n v="1"/>
    <b v="0"/>
    <b v="0"/>
    <b v="0"/>
    <b v="0"/>
    <d v="2026-06-05T00:00:00"/>
    <n v="2048.4"/>
    <n v="13999"/>
    <x v="1"/>
    <s v="3.0–3.9"/>
  </r>
  <r>
    <s v="B0DYKC512N"/>
    <s v="Samsung Galaxy F06 5G (Bahama Blue, 128 GB) (6 GB RAM)"/>
    <s v="Smartphone"/>
    <n v="14147"/>
    <n v="15499"/>
    <n v="8.6999999999999994E-2"/>
    <n v="4"/>
    <n v="213"/>
    <n v="1"/>
    <b v="0"/>
    <b v="0"/>
    <b v="0"/>
    <b v="0"/>
    <d v="2026-06-05T00:00:00"/>
    <n v="852"/>
    <n v="14147"/>
    <x v="1"/>
    <s v="4.0–4.4"/>
  </r>
  <r>
    <s v="B0G8Y3GWQR"/>
    <s v="Oppo Reno15c 5G (Twilight Blue, 8GB RAM, 256GB Storage) with No Cost EMI/Additional Exchange Offers"/>
    <s v="Smartphone"/>
    <n v="37999"/>
    <n v="42999"/>
    <n v="0.11600000000000001"/>
    <n v="4"/>
    <n v="106"/>
    <n v="1"/>
    <b v="0"/>
    <b v="0"/>
    <b v="0"/>
    <b v="0"/>
    <d v="2026-06-05T00:00:00"/>
    <n v="424"/>
    <n v="37999"/>
    <x v="1"/>
    <s v="4.0–4.4"/>
  </r>
  <r>
    <s v="B0GSRJ52CQ"/>
    <s v="OPPO K14x 5G Smartphone, Prism Violet, 4GB RAM, 64GB Storage, 6500mAh Battery, 45W Fast Charge"/>
    <s v="Smartphone"/>
    <n v="15909"/>
    <n v="20000"/>
    <n v="0.20499999999999999"/>
    <n v="4.3"/>
    <n v="15"/>
    <n v="4"/>
    <b v="0"/>
    <b v="0"/>
    <b v="0"/>
    <b v="0"/>
    <d v="2026-06-05T00:00:00"/>
    <n v="64.5"/>
    <n v="15909"/>
    <x v="1"/>
    <s v="4.0–4.4"/>
  </r>
  <r>
    <s v="B07Z6JYPTW"/>
    <s v="Mi Redmi 8 Ruby Red, 4GB RAM, 64GB Storage Smartphone"/>
    <s v="Smartphone"/>
    <m/>
    <m/>
    <m/>
    <n v="3.9"/>
    <n v="224"/>
    <n v="1"/>
    <b v="0"/>
    <b v="0"/>
    <b v="0"/>
    <b v="0"/>
    <d v="2026-06-05T00:00:00"/>
    <n v="873.6"/>
    <m/>
    <x v="3"/>
    <s v="3.0–3.9"/>
  </r>
  <r>
    <s v="B0GF2H24ZJ"/>
    <s v="REDMI Note 15 Pro+ 5G (Coffee Mocha, 12GB + 512GB) | 200MasterPixel OIS Camera | Snapdragon 7s Gen 4 | CrystalRes AMOLED | IP69/69K | 6500mAh Si/C Battery | 100W HyperCharge"/>
    <s v="Smartphone"/>
    <n v="44999"/>
    <m/>
    <m/>
    <n v="4.2"/>
    <n v="262"/>
    <n v="1"/>
    <b v="0"/>
    <b v="0"/>
    <b v="0"/>
    <b v="0"/>
    <d v="2026-06-05T00:00:00"/>
    <n v="1100.4000000000001"/>
    <n v="44999"/>
    <x v="1"/>
    <s v="4.0–4.4"/>
  </r>
  <r>
    <s v="B0GTV6S8Q2"/>
    <s v="vivo T5x 5G (Star Silver, 8GB RAM, 256GB Storage) | 50MP AI Dual Camera | 32MP Selfie | 6.76&amp;quot; FHD+ Display | 7200mAh Battery | Dimensity 7400-Turbo Processor | Fast Charging | Dual SIM Smartphone"/>
    <s v="Smartphone"/>
    <n v="26909"/>
    <n v="35999"/>
    <n v="0.253"/>
    <n v="4.3"/>
    <n v="73"/>
    <n v="9"/>
    <b v="0"/>
    <b v="0"/>
    <b v="0"/>
    <b v="0"/>
    <d v="2026-06-05T00:00:00"/>
    <n v="313.89999999999998"/>
    <n v="26909"/>
    <x v="1"/>
    <s v="4.0–4.4"/>
  </r>
  <r>
    <s v="B0DDYBQWLW"/>
    <s v="Motorola G45 5G (Brilliant Green, 8GB RAM, 128GB Storage) | 6.5&amp;quot; FHD+ Display | Snapdragon 6 Gen1 Processor | 50MP Camera | 16MP Front Camera | 5000mAh Battery | 33W Charging"/>
    <s v="Smartphone"/>
    <n v="12269"/>
    <m/>
    <m/>
    <n v="4.0999999999999996"/>
    <n v="1853"/>
    <n v="1"/>
    <b v="0"/>
    <b v="0"/>
    <b v="0"/>
    <b v="0"/>
    <d v="2026-06-05T00:00:00"/>
    <n v="7597.2999999999993"/>
    <n v="12269"/>
    <x v="1"/>
    <s v="4.0–4.4"/>
  </r>
  <r>
    <s v="B0GWDDKGNP"/>
    <s v="Lava Bold N1 5G (Champagne Gold, 6GB RAM, 128GB Storage) |Bigger 6.75&amp;quot; HD+ Notch Display | Octacore 5G Processor | 13 MP AI Camera |5000 mAh Battery| IP54 Rated Dust &amp;amp; Water Splash Proof"/>
    <s v="Smartphone"/>
    <n v="13499"/>
    <n v="16999"/>
    <n v="0.20599999999999999"/>
    <n v="3.6"/>
    <n v="45"/>
    <n v="1"/>
    <b v="0"/>
    <b v="0"/>
    <b v="0"/>
    <b v="0"/>
    <d v="2026-06-05T00:00:00"/>
    <n v="162"/>
    <n v="13499"/>
    <x v="1"/>
    <s v="3.0–3.9"/>
  </r>
  <r>
    <s v="B0GP8XTH7K"/>
    <s v="iQOO Z11x 5G (Prismatic Green, 8GB RAM, 256 GB Storage) | Dimensity 7400-Turbo Processor | 7200 mAh Battery | 4K Video Recording Front &amp;amp; Back | IP68 &amp;amp; IP69+ | Powered by OriginOS 6"/>
    <s v="Smartphone"/>
    <n v="26999"/>
    <n v="33999"/>
    <n v="0.20599999999999999"/>
    <n v="4.2"/>
    <n v="827"/>
    <n v="1"/>
    <b v="0"/>
    <b v="0"/>
    <b v="0"/>
    <b v="0"/>
    <d v="2026-06-05T00:00:00"/>
    <n v="3473.4"/>
    <n v="26999"/>
    <x v="1"/>
    <s v="4.0–4.4"/>
  </r>
  <r>
    <s v="B0FRNNP6F5"/>
    <s v="POCO M7 Plus 5G, Carbon Black (6GB, 128GB)"/>
    <s v="Smartphone"/>
    <n v="15499"/>
    <n v="16999"/>
    <n v="8.7999999999999995E-2"/>
    <n v="3.7"/>
    <n v="69"/>
    <n v="1"/>
    <b v="0"/>
    <b v="0"/>
    <b v="0"/>
    <b v="0"/>
    <d v="2026-06-05T00:00:00"/>
    <n v="255.3"/>
    <n v="15499"/>
    <x v="1"/>
    <s v="3.0–3.9"/>
  </r>
  <r>
    <s v="B0G5G7LNCV"/>
    <s v="REDMI Note 15 5G (Glacier Blue, 8GB RAM 256GB Storage) | 108MP OIS Camera | Snapdragon 6 Gen 3 | 17.2cm Tough Curved AMOLED Screen | 5520mAh Battery | 45W Fast Charging"/>
    <s v="Smartphone"/>
    <n v="28999"/>
    <m/>
    <m/>
    <n v="4.2"/>
    <n v="831"/>
    <n v="1"/>
    <b v="0"/>
    <b v="0"/>
    <b v="0"/>
    <b v="0"/>
    <d v="2026-06-05T00:00:00"/>
    <n v="3490.2000000000003"/>
    <n v="28999"/>
    <x v="1"/>
    <s v="4.0–4.4"/>
  </r>
  <r>
    <s v="B0GZWDFQPN"/>
    <s v="POCO C81, Sky Blue (4GB, 64GB)"/>
    <s v="Smartphone"/>
    <n v="11179"/>
    <n v="19999"/>
    <n v="0.441"/>
    <m/>
    <n v="0"/>
    <n v="1"/>
    <b v="0"/>
    <b v="0"/>
    <b v="0"/>
    <b v="0"/>
    <d v="2026-06-05T00:00:00"/>
    <s v=""/>
    <n v="11179"/>
    <x v="1"/>
    <s v="Not Rated"/>
  </r>
  <r>
    <s v="B0GL83ZTP8"/>
    <s v="iQOO 15R (Dark Knight, 8GB RAM, 256GB Storage) | SnapdragonÂ® 8 Gen 5 Processor | Indiaâ€™s Slimmest Smartphone in 7600mAh Battery* | Segment&amp;#x27;s Most Stable 144FPS Gaming*"/>
    <s v="Smartphone"/>
    <n v="46998"/>
    <n v="53990"/>
    <n v="0.13"/>
    <n v="4.4000000000000004"/>
    <n v="954"/>
    <n v="1"/>
    <b v="0"/>
    <b v="0"/>
    <b v="0"/>
    <b v="0"/>
    <d v="2026-06-05T00:00:00"/>
    <n v="4197.6000000000004"/>
    <n v="46998"/>
    <x v="1"/>
    <s v="4.0–4.4"/>
  </r>
  <r>
    <s v="B0F46SJ5SB"/>
    <s v="Motorola Edge 60 Fusion 5G Smartphone with 6.67&amp;quot; 120Hz pOLED Display, 50MP OIS Camera, Android 14, Dimensity 7030 Processor, 68W Fast Charging (Pantone Amazonite, 8GB + 256GB Storage)"/>
    <s v="Smartphone"/>
    <n v="21040"/>
    <m/>
    <m/>
    <n v="4.3"/>
    <n v="1454"/>
    <n v="1"/>
    <b v="0"/>
    <b v="0"/>
    <b v="0"/>
    <b v="0"/>
    <d v="2026-06-05T00:00:00"/>
    <n v="6252.2"/>
    <n v="21040"/>
    <x v="1"/>
    <s v="4.0–4.4"/>
  </r>
  <r>
    <s v="B0FDB9H9Z7"/>
    <s v="Samsung Galaxy M36 5G Mobile (Serene Green, 8GB RAM, 128GB Storage) | Google Gemini| Gorilla Glass Victus+ | 7.7mm | AI Enhanced 50MP OIS Triple Camera| Nightography| Lag-free Gaming | Without Charger"/>
    <s v="Smartphone"/>
    <n v="23999"/>
    <n v="26999"/>
    <n v="0.111"/>
    <n v="4"/>
    <n v="513"/>
    <n v="1"/>
    <b v="0"/>
    <b v="0"/>
    <b v="0"/>
    <b v="0"/>
    <d v="2026-06-05T00:00:00"/>
    <n v="2052"/>
    <n v="23999"/>
    <x v="1"/>
    <s v="4.0–4.4"/>
  </r>
  <r>
    <s v="B0GVFVND7C"/>
    <s v="REDMI A7 4G (Sky Blue, 3 GB RAM, 64GB Storage) | Large 17.48cm (6.88) Smooth 120Hz Display | 5200mAh 2-Day Battery | Royale Design | Charger in the Box"/>
    <s v="Smartphone"/>
    <n v="11499"/>
    <n v="14999"/>
    <n v="0.23300000000000001"/>
    <n v="3.2"/>
    <n v="11"/>
    <n v="2"/>
    <b v="0"/>
    <b v="0"/>
    <b v="0"/>
    <b v="0"/>
    <d v="2026-06-05T00:00:00"/>
    <n v="35.200000000000003"/>
    <n v="11499"/>
    <x v="1"/>
    <s v="3.0–3.9"/>
  </r>
  <r>
    <s v="B0F2HDWBNK"/>
    <s v="iQOO Z10 5G (Glacier Silver, 12GB RAM, 256GB Storage) | India&amp;#x27;s Biggest Ever 7300 mAh Battery | Snapdragon 7s Gen 3 Processor | Brightest Quad Curved AMOLED Display in the Segment"/>
    <s v="Smartphone"/>
    <n v="28999"/>
    <n v="29999"/>
    <n v="3.3000000000000002E-2"/>
    <n v="4.4000000000000004"/>
    <n v="5380"/>
    <n v="1"/>
    <b v="0"/>
    <b v="0"/>
    <b v="0"/>
    <b v="0"/>
    <d v="2026-06-05T00:00:00"/>
    <n v="23672.000000000004"/>
    <n v="28999"/>
    <x v="1"/>
    <s v="4.0–4.4"/>
  </r>
  <r>
    <s v="B0CL7CMTXS"/>
    <s v="Lenovo V15 G4 AMD Athlon Silver 7120U Laptop 8GB LPDDR5 Ram, 512 GB SSD PCIe, Windows 11 Lifetime Validity,15.6&amp;quot; FHD Screen, AMD Radeon 610M, Silver, 1 Year Brand Warranty"/>
    <s v="Laptop"/>
    <n v="42999"/>
    <m/>
    <m/>
    <n v="4"/>
    <n v="349"/>
    <n v="1"/>
    <b v="0"/>
    <b v="0"/>
    <b v="0"/>
    <b v="0"/>
    <d v="2026-06-05T00:00:00"/>
    <n v="1396"/>
    <n v="42999"/>
    <x v="1"/>
    <s v="4.0–4.4"/>
  </r>
  <r>
    <s v="B0BQJ68HHC"/>
    <s v="Dell 15 (Previously Inspiron) Laptop, 14th Gen Intel Core i3/Core 3 100U Processor, 8GB DDR4, 512 SSD, 15.6&amp;quot; FHD 120Hz IPS 250 nit Display, Win 11 + Office H&amp;amp;S 2024, Carbon Black, Thin &amp;amp; Light 1.63Kg"/>
    <s v="Laptop"/>
    <n v="44990"/>
    <n v="48692"/>
    <n v="7.5999999999999998E-2"/>
    <n v="4.0999999999999996"/>
    <n v="1114"/>
    <n v="1"/>
    <b v="0"/>
    <b v="0"/>
    <b v="0"/>
    <b v="0"/>
    <d v="2026-06-05T00:00:00"/>
    <n v="4567.3999999999996"/>
    <n v="44990"/>
    <x v="1"/>
    <s v="4.0–4.4"/>
  </r>
  <r>
    <s v="B0F2TMZJ24"/>
    <s v="Lenovo Chromebook Intel Celeron N4500 (4GB RAM/64GB eMMC 5.1/11.6 Inch (29.46cm)/HD Display/2Wx2 Stereo Speakers/HD Camera/Chrome OS/Blue/1.21Kg), 82UY0014HA"/>
    <s v="Laptop"/>
    <n v="18990"/>
    <n v="36502"/>
    <n v="0.48"/>
    <n v="3.9"/>
    <n v="179"/>
    <n v="1"/>
    <b v="0"/>
    <b v="0"/>
    <b v="0"/>
    <b v="0"/>
    <d v="2026-06-05T00:00:00"/>
    <n v="698.1"/>
    <n v="18990"/>
    <x v="1"/>
    <s v="3.0–3.9"/>
  </r>
  <r>
    <s v="B0H1JV266J"/>
    <s v="ð——ð—²ð—¹ð—¹Laptop Model 5420 | ð—œð—¡ð—§ð—˜ð—Ÿi5 11th Gen Processor |8GB DDR4 RAM |256GB SSD |14&amp;quot; FHD Display | Win10 | A+ Condition Laptop (Refab)"/>
    <s v="Laptop"/>
    <n v="35490"/>
    <n v="49999"/>
    <n v="0.28999999999999998"/>
    <n v="5"/>
    <n v="1"/>
    <n v="1"/>
    <b v="0"/>
    <b v="0"/>
    <b v="0"/>
    <b v="0"/>
    <d v="2026-06-05T00:00:00"/>
    <n v="5"/>
    <n v="35490"/>
    <x v="1"/>
    <s v="4.5–5.0"/>
  </r>
  <r>
    <s v="B0FDWH5WTL"/>
    <s v="Dell 15, Intel Core i3/Core 3 14th Gen-100U, 16GB DDR4, 512GB SSD, FHD IPS, 15.6&amp;quot;/39.62cm, Windows 11, Microsoft Office Home 2024, Carbon Black, 1.63Kg, Thin &amp;amp; Light, Laptop Model NO - Dell 15 DCU5250"/>
    <s v="Laptop"/>
    <n v="47490"/>
    <n v="53074"/>
    <n v="0.105"/>
    <n v="3.7"/>
    <n v="46"/>
    <n v="1"/>
    <b v="0"/>
    <b v="0"/>
    <b v="0"/>
    <b v="0"/>
    <d v="2026-06-05T00:00:00"/>
    <n v="170.20000000000002"/>
    <n v="47490"/>
    <x v="1"/>
    <s v="3.0–3.9"/>
  </r>
  <r>
    <s v="B0D7PTFFZH"/>
    <s v="Acer Aspire 3 Laptop Intel Core Celeron N4500 Processor Laptop (8 GB LPDDR4X SDRAM/256 GB SSD/Win11 Home/38 WHR/HD Webcam) A325-45 with 39.63 cm (15.6&amp;quot;) HD Display, Pure Silver, 1.5 KG"/>
    <s v="Laptop"/>
    <n v="36990"/>
    <n v="39999"/>
    <n v="7.4999999999999997E-2"/>
    <n v="3.6"/>
    <n v="459"/>
    <n v="1"/>
    <b v="0"/>
    <b v="0"/>
    <b v="0"/>
    <b v="0"/>
    <d v="2026-06-05T00:00:00"/>
    <n v="1652.4"/>
    <n v="36990"/>
    <x v="1"/>
    <s v="3.0–3.9"/>
  </r>
  <r>
    <s v="B0FC2LKFSC"/>
    <s v="ASUS Vivobook 15, Smartchoice, AMD Ryzen 7 5825U, 16GB RAM, 512GB SSD, FHD 15.6&amp;quot;, Windows 11, Office Home 2024, Quiet Blue, 1.7Kg, M1502YA-BQ703WS, AMD Radeon iGPU, M365 Basic (1Year)*, 42Whr Laptop"/>
    <s v="Laptop"/>
    <n v="54990"/>
    <n v="57990"/>
    <n v="5.1999999999999998E-2"/>
    <n v="4"/>
    <n v="180"/>
    <n v="1"/>
    <b v="0"/>
    <b v="0"/>
    <b v="0"/>
    <b v="0"/>
    <d v="2026-06-05T00:00:00"/>
    <n v="720"/>
    <n v="54990"/>
    <x v="1"/>
    <s v="4.0–4.4"/>
  </r>
  <r>
    <s v="B0FM3C4L2F"/>
    <s v="ASUS TUF A15 (2025), AMD Ryzen 7 7445HS,RTX 3050-4GB,75W TGP,16GB DDR5(Upgradeable Upto 64GB) 512GB SSD,FHD,15.6&amp;quot;,144Hz,RGB Keyboard,Windows 11,Graphite Black,2.3 Kg FA506NCG-HN199W, Gaming Laptop"/>
    <s v="Laptop"/>
    <n v="68990"/>
    <n v="83990"/>
    <n v="0.17899999999999999"/>
    <n v="4.2"/>
    <n v="872"/>
    <n v="1"/>
    <b v="0"/>
    <b v="0"/>
    <b v="0"/>
    <b v="0"/>
    <d v="2026-06-05T00:00:00"/>
    <n v="3662.4"/>
    <n v="68990"/>
    <x v="1"/>
    <s v="4.0–4.4"/>
  </r>
  <r>
    <s v="B0GN2Y3T6M"/>
    <s v="ASUS Chromebook CX1405 (2026), Smartchoice,Intel N50 Processor, Intel UHD iGPU, 8GB RAM, 128GB SSD, FHD, 14&amp;quot; (35.5 cm), Chrome OS, Pure Grey, 1.39 Kg, CX1405CTA-S60622, 42WHrs, Thin &amp;amp; Light Laptop"/>
    <s v="Laptop"/>
    <n v="30990"/>
    <m/>
    <m/>
    <n v="2.7"/>
    <n v="10"/>
    <n v="1"/>
    <b v="0"/>
    <b v="0"/>
    <b v="0"/>
    <b v="0"/>
    <d v="2026-06-05T00:00:00"/>
    <n v="27"/>
    <n v="30990"/>
    <x v="1"/>
    <s v="2.0–2.9"/>
  </r>
  <r>
    <s v="B0FMRSJK1L"/>
    <s v="ASUS Vivobook 15, Smartchoice,Intel Core i3 13th Gen 1315U, 16GB RAM, 512GB SSD, FHD 15.6&amp;quot;, Touchscreen, Win11, Office 24, M365 Basic (1Y), Quiet Blue, 1.7Kg, X1504VA-E83959WS, Intel UHD iGPU, Laptop"/>
    <s v="Laptop"/>
    <n v="54990"/>
    <n v="56990"/>
    <n v="3.5000000000000003E-2"/>
    <n v="4.3"/>
    <n v="213"/>
    <n v="1"/>
    <b v="0"/>
    <b v="0"/>
    <b v="0"/>
    <b v="0"/>
    <d v="2026-06-05T00:00:00"/>
    <n v="915.9"/>
    <n v="54990"/>
    <x v="1"/>
    <s v="4.0–4.4"/>
  </r>
  <r>
    <s v="B0GR64G4H6"/>
    <s v="Apple 2026 MacBook Neo 13â€³ Laptop with A18 Pro chip: Built for AI and Apple Intelligence, Liquid Retina Display, 8GB Unified Memory, 256GB SSD Storage, 1080p FaceTime HD Camera; Indigo"/>
    <s v="Laptop"/>
    <n v="65000"/>
    <n v="69900"/>
    <n v="7.0000000000000007E-2"/>
    <n v="4.8"/>
    <n v="120"/>
    <n v="1"/>
    <b v="0"/>
    <b v="0"/>
    <b v="0"/>
    <b v="0"/>
    <d v="2026-06-05T00:00:00"/>
    <n v="576"/>
    <n v="65000"/>
    <x v="1"/>
    <s v="4.5–5.0"/>
  </r>
  <r>
    <s v="B0GSZRGP46"/>
    <s v="HP 15 (2026), Refrbishd AMD Ryzen 5 Hexa Core 7535U - (8 GB DDR5/512 GB SSD/) Thin and Light Business Laptop/15.6&amp;quot; FHD Display/Turbo Silver/1.5kg"/>
    <s v="Laptop"/>
    <n v="49300"/>
    <n v="80990"/>
    <n v="0.39100000000000001"/>
    <n v="5"/>
    <n v="1"/>
    <n v="1"/>
    <b v="0"/>
    <b v="0"/>
    <b v="0"/>
    <b v="0"/>
    <d v="2026-06-05T00:00:00"/>
    <n v="5"/>
    <n v="49300"/>
    <x v="1"/>
    <s v="4.5–5.0"/>
  </r>
  <r>
    <s v="B0H1J4KRR9"/>
    <s v="ð——ð—²ð—¹ð—¹Laptop Model 5420 | ð—œð—¡ð—§ð—˜ð—Ÿi5 11th Gen Processor |8GB DDR4 RAM |256GB SSD |14&amp;quot; FHD Display | Win10 | A+ Condition Laptop (Refab)"/>
    <s v="Laptop"/>
    <n v="35590"/>
    <n v="54999"/>
    <n v="0.35299999999999998"/>
    <n v="5"/>
    <n v="1"/>
    <n v="1"/>
    <b v="0"/>
    <b v="0"/>
    <b v="0"/>
    <b v="0"/>
    <d v="2026-06-05T00:00:00"/>
    <n v="5"/>
    <n v="35590"/>
    <x v="1"/>
    <s v="4.5–5.0"/>
  </r>
  <r>
    <s v="B0F4R5W1NC"/>
    <s v="HP 15, 13th Gen Intel Core i3-1315U Laptop (8GB DDR4,512GB SSD) Anti-Glare, Micro-Edge,15.6&amp;#x27;&amp;#x27;/39.6cm, FHD, Win11,M365 Basic(1yr),Office Home24, Silver,1.59kg, FHD Camera w/Privacy Shutter, fd0569TU"/>
    <s v="Laptop"/>
    <n v="50040"/>
    <n v="50903"/>
    <n v="1.7000000000000001E-2"/>
    <n v="4.2"/>
    <n v="2212"/>
    <n v="1"/>
    <b v="0"/>
    <b v="0"/>
    <b v="0"/>
    <b v="0"/>
    <d v="2026-06-05T00:00:00"/>
    <n v="9290.4"/>
    <n v="50040"/>
    <x v="1"/>
    <s v="4.0–4.4"/>
  </r>
  <r>
    <s v="B0F29HNJL1"/>
    <s v="Lenovo V15 G4 AMD Ryzen 5 7520U 15.6 inch FHD Laptop, AMD Graphics, 16GB DDR5 5500Mhz Ram, 512GB SSD NVMe, Windows 11, Dolby Audio, Arctic Grey, 1 Year Onsite Brand Warranty"/>
    <s v="Laptop"/>
    <n v="54790"/>
    <n v="99999"/>
    <n v="0.45200000000000001"/>
    <n v="4"/>
    <n v="446"/>
    <n v="1"/>
    <b v="0"/>
    <b v="0"/>
    <b v="0"/>
    <b v="0"/>
    <d v="2026-06-05T00:00:00"/>
    <n v="1784"/>
    <n v="54790"/>
    <x v="1"/>
    <s v="4.0–4.4"/>
  </r>
  <r>
    <s v="B0D2Y1BLDT"/>
    <s v="Dell 15, 13th Gen Intel Core i5-1334U (16GB DDR4, 512GB SSD) Anti-Glare FHD 15.6&amp;quot;/39.62cm, Windows 11, Microsoft Office Home 2024, Grey, 1.66kg, [Vostro 3530], 12 Month McAfee, Thin &amp;amp; Light Laptop"/>
    <s v="Laptop"/>
    <n v="61990"/>
    <n v="73163"/>
    <n v="0.153"/>
    <n v="3.8"/>
    <n v="547"/>
    <n v="1"/>
    <b v="0"/>
    <b v="0"/>
    <b v="0"/>
    <b v="0"/>
    <d v="2026-06-05T00:00:00"/>
    <n v="2078.6"/>
    <n v="61990"/>
    <x v="1"/>
    <s v="3.0–3.9"/>
  </r>
  <r>
    <s v="B0F8P4Y7VF"/>
    <s v="HP Smartchoice OmniBook 5 OLED (Previously Pavilion), Snapdragon X Processor (16GB LPDDR5x, 512GB SSD) 2K, 14&amp;#x27;&amp;#x27;/35.6cm, Win11, M365(1yr)* Office24, Silver, 1.35kg, he0014QU, Next-Gen AI Laptop"/>
    <s v="Laptop"/>
    <n v="79990"/>
    <n v="83704"/>
    <n v="4.3999999999999997E-2"/>
    <n v="4.2"/>
    <n v="282"/>
    <n v="1"/>
    <b v="0"/>
    <b v="0"/>
    <b v="0"/>
    <b v="0"/>
    <d v="2026-06-05T00:00:00"/>
    <n v="1184.4000000000001"/>
    <n v="79990"/>
    <x v="1"/>
    <s v="4.0–4.4"/>
  </r>
  <r>
    <s v="B0GR1RQ144"/>
    <s v="Apple 2026 MacBook Air 13â€³ Laptop with M5 chip: AI and Apple Intelligence, 34.46 cm (13.6â€³) Liquid Retina Display, 16GB Unified Memory, 512GB SSD Storage, 12MP Center Stage Camera, Touch ID; Sky Blue"/>
    <s v="Laptop"/>
    <n v="110300"/>
    <n v="119900"/>
    <n v="0.08"/>
    <n v="4.9000000000000004"/>
    <n v="25"/>
    <n v="1"/>
    <b v="0"/>
    <b v="0"/>
    <b v="0"/>
    <b v="0"/>
    <d v="2026-06-05T00:00:00"/>
    <n v="122.50000000000001"/>
    <n v="110300"/>
    <x v="1"/>
    <s v="4.5–5.0"/>
  </r>
  <r>
    <s v="B0GR68779Y"/>
    <s v="Apple 2026 MacBook Neo 13â€³ Laptop with A18 Pro chip: Built for AI and Apple Intelligence, Liquid Retina Display, 8GB Unified Memory, 256GB SSD Storage, 1080p FaceTime HD Camera; Citrus"/>
    <s v="Laptop"/>
    <n v="65000"/>
    <n v="69900"/>
    <n v="7.0000000000000007E-2"/>
    <n v="4.8"/>
    <n v="120"/>
    <n v="1"/>
    <b v="0"/>
    <b v="0"/>
    <b v="0"/>
    <b v="0"/>
    <d v="2026-06-05T00:00:00"/>
    <n v="576"/>
    <n v="65000"/>
    <x v="1"/>
    <s v="4.5–5.0"/>
  </r>
  <r>
    <s v="B0GR1HPR1W"/>
    <s v="Apple 2026 MacBook Air 13â€³ Laptop with M5 chip: AI and Apple Intelligence, 34.46 cm (13.6â€³) Liquid Retina Display, 16GB Unified Memory, 512GB SSD Storage, 12MP Center Stage Camera, Touch ID; Midnight"/>
    <s v="Laptop"/>
    <n v="110290"/>
    <n v="119900"/>
    <n v="0.08"/>
    <n v="4.5"/>
    <n v="34"/>
    <n v="1"/>
    <b v="0"/>
    <b v="0"/>
    <b v="0"/>
    <b v="0"/>
    <d v="2026-06-05T00:00:00"/>
    <n v="153"/>
    <n v="110290"/>
    <x v="1"/>
    <s v="4.5–5.0"/>
  </r>
  <r>
    <s v="B0FJYJP1L6"/>
    <s v="HP Victus, AMD Ryzen 7 7445HS, 6GB RTX 4050, 16GB DDR5(Upgradeable) 512GB SSD, 144Hz, IPS, 300nits, FHD, 15.6&amp;#x27;&amp;#x27;/39.6cm, Win11, M365* Office24, Blue, 2.29kg, fb3130AX, Backlit, DTS Audio, Gaming Laptop"/>
    <s v="Laptop"/>
    <n v="90990"/>
    <n v="95746"/>
    <n v="0.05"/>
    <n v="4.2"/>
    <n v="90"/>
    <n v="1"/>
    <b v="0"/>
    <b v="0"/>
    <b v="0"/>
    <b v="0"/>
    <d v="2026-06-05T00:00:00"/>
    <n v="378"/>
    <n v="90990"/>
    <x v="1"/>
    <s v="4.0–4.4"/>
  </r>
  <r>
    <s v="B0F2162VGQ"/>
    <s v="Lenovo Ideapad Slim 3, 13th Gen Intel Core i7 13620H, 16GB RAM, 512GB SSD, WUXGA IPS, 15.3&amp;quot;/38.8cm, Win 11, Office 2024, Top Metal Cover Grey, 1.6Kg, 83K100CJIN/S1IN, Backlit KB, Laptop"/>
    <s v="Laptop"/>
    <n v="79990"/>
    <n v="89390"/>
    <n v="0.105"/>
    <n v="4.0999999999999996"/>
    <n v="436"/>
    <n v="1"/>
    <b v="0"/>
    <b v="0"/>
    <b v="0"/>
    <b v="0"/>
    <d v="2026-06-05T00:00:00"/>
    <n v="1787.6"/>
    <n v="79990"/>
    <x v="1"/>
    <s v="4.0–4.4"/>
  </r>
  <r>
    <s v="B0GYHPP3Y1"/>
    <s v="Certified Latitude 7420 Business Laptop â€“ Core i5-1145G7, 16GB RAM, 512GB SSD, 14â€ Full HD, Win 11 Pro"/>
    <s v="Laptop"/>
    <n v="34990"/>
    <n v="79990"/>
    <n v="0.56299999999999994"/>
    <m/>
    <n v="0"/>
    <n v="1"/>
    <b v="0"/>
    <b v="0"/>
    <b v="0"/>
    <b v="0"/>
    <d v="2026-06-05T00:00:00"/>
    <s v=""/>
    <n v="34990"/>
    <x v="1"/>
    <s v="Not Rated"/>
  </r>
  <r>
    <s v="B09BB766ZL"/>
    <s v="ASUS Zenbook 14 (2026),Smartchoice,Intel Core Ultra 9 285H,32GB RAM,1TB SSD,OLED,Touchscreen,14&amp;quot;(35.5 cm),Win 11,M365 Basic(1Y)* Office 24,Foggy Silver,1.28 Kg,UX3405CA-QL1113WS,Thin &amp;amp; Light Laptop"/>
    <s v="Laptop"/>
    <n v="124990"/>
    <n v="153990"/>
    <n v="0.188"/>
    <m/>
    <n v="0"/>
    <n v="1"/>
    <b v="0"/>
    <b v="0"/>
    <b v="0"/>
    <b v="0"/>
    <d v="2026-06-05T00:00:00"/>
    <s v=""/>
    <n v="124990"/>
    <x v="1"/>
    <s v="Not Rated"/>
  </r>
  <r>
    <s v="B0GYRJZZ29"/>
    <s v="Acer Smartchoice Aspire One, AMD Ryzen 3-7320U, Office 2024 + M365 Basic, 8GB LPDDR5 RAM/ 256GB SSD, 14.0&amp;quot;/35.56cm TN HD Display, Win 11 Home, Pure Silver, 1.48KG, A114-43, Thin and Light Laptop"/>
    <s v="Laptop"/>
    <n v="41990"/>
    <n v="74999"/>
    <n v="0.44"/>
    <m/>
    <n v="0"/>
    <n v="1"/>
    <b v="0"/>
    <b v="0"/>
    <b v="0"/>
    <b v="0"/>
    <d v="2026-06-05T00:00:00"/>
    <s v=""/>
    <n v="41990"/>
    <x v="1"/>
    <s v="Not Rated"/>
  </r>
  <r>
    <s v="B0G3B47HZF"/>
    <s v="Lenovo LOQ 13th Gen Intel Core i7-13650HX 15.6&amp;quot; (39.6cm) 144Hz 300Nits FHD Gaming Laptop (16GB/512GB SSD/Win 11/NVIDIA RTX 4050 6GB/1Yr ADP Free/MSO 24/Grey/2.3Kg), 83DV01A5IN"/>
    <s v="Laptop"/>
    <n v="109539"/>
    <n v="131290"/>
    <n v="0.16600000000000001"/>
    <n v="4.7"/>
    <n v="8"/>
    <n v="7"/>
    <b v="0"/>
    <b v="0"/>
    <b v="0"/>
    <b v="0"/>
    <d v="2026-06-05T00:00:00"/>
    <n v="37.6"/>
    <n v="109539"/>
    <x v="1"/>
    <s v="4.5–5.0"/>
  </r>
  <r>
    <s v="B0GR67GHSV"/>
    <s v="Apple 2026 MacBook Neo 13&amp;quot; Laptop with A18 Pro chip: Built for AI and Apple Intelligence, Liquid Retina Display, 8GB Unified Memory, 512GB SSD Storage, 1080p FaceTime HD Camera, Touch ID; Blush"/>
    <s v="Laptop"/>
    <n v="77900"/>
    <n v="79900"/>
    <n v="2.5000000000000001E-2"/>
    <n v="4.8"/>
    <n v="120"/>
    <n v="1"/>
    <b v="0"/>
    <b v="0"/>
    <b v="0"/>
    <b v="0"/>
    <d v="2026-06-05T00:00:00"/>
    <n v="576"/>
    <n v="77900"/>
    <x v="1"/>
    <s v="4.5–5.0"/>
  </r>
  <r>
    <s v="B0F4R3GFMQ"/>
    <s v="HP 15 Smartchoice, 13th Gen Intel Core i3-1315U (12GB DDR4, 512GB SSD) FHD, Anti-Glare, Micro-Edge, 15.6&amp;#x27;&amp;#x27;/39.6cm, Win11, M365(1yr)*Office24, Silver, 1.59kg, fd0573TU, FHD Camera w/Shutter Laptop"/>
    <s v="Laptop"/>
    <n v="52690"/>
    <n v="52720.160000000003"/>
    <n v="1E-3"/>
    <n v="4.2"/>
    <n v="551"/>
    <n v="1"/>
    <b v="0"/>
    <b v="0"/>
    <b v="0"/>
    <b v="0"/>
    <d v="2026-06-05T00:00:00"/>
    <n v="2314.2000000000003"/>
    <n v="52690"/>
    <x v="1"/>
    <s v="4.0–4.4"/>
  </r>
  <r>
    <s v="B0GY7VGHDQ"/>
    <s v="HP Professional 15 (2026), Intel (i3 14th Gen) Core 3 100U - (8 GB/512 GB SSD/Intel UHD Graphics/Windows 11 Pro) Thin &amp;amp; Light Business Laptop/15.6&amp;quot; Display/Turbo Silver/Copilot Key/1.5kg/MS Office"/>
    <s v="Laptop"/>
    <n v="48902"/>
    <n v="89990"/>
    <n v="0.45700000000000002"/>
    <m/>
    <n v="0"/>
    <n v="1"/>
    <b v="0"/>
    <b v="0"/>
    <b v="0"/>
    <b v="0"/>
    <d v="2026-06-05T00:00:00"/>
    <s v=""/>
    <n v="48902"/>
    <x v="1"/>
    <s v="Not Rated"/>
  </r>
  <r>
    <s v="B0872G2MPV"/>
    <s v="Lenovo V15 G4 AMD Athlon Silver 7120U Laptop 8GB LPDDR5 Ram, 512 GB SSD PCIe, Windows 11/MS Office,15.6&amp;quot; FHD Screen, AMD Radeon 610M, Silver, 1 Year Brand Warranty"/>
    <s v="Laptop"/>
    <n v="43999"/>
    <n v="99000"/>
    <n v="0.55600000000000005"/>
    <n v="3.9"/>
    <n v="41"/>
    <n v="1"/>
    <b v="0"/>
    <b v="0"/>
    <b v="0"/>
    <b v="0"/>
    <d v="2026-06-05T00:00:00"/>
    <n v="159.9"/>
    <n v="43999"/>
    <x v="1"/>
    <s v="3.0–3.9"/>
  </r>
  <r>
    <s v="B0GY8KNSFC"/>
    <s v="HP Omnibook 3, Snapdragon X Processor, 45 TOPS (16GB LPDDR5x, 512GB SSD) 2K, WUXGA, IPS, 14&amp;#x27;&amp;#x27;/35.6cm, Win 11, Office 24, Silver, 1.4kg, hz0026QU, FHD IR Camera, 42% Lighter mini GaN Charger, AI Laptop"/>
    <s v="Laptop"/>
    <n v="73990"/>
    <n v="108510"/>
    <n v="0.318"/>
    <n v="3"/>
    <n v="2"/>
    <n v="1"/>
    <b v="0"/>
    <b v="0"/>
    <b v="0"/>
    <b v="0"/>
    <d v="2026-06-05T00:00:00"/>
    <n v="6"/>
    <n v="73990"/>
    <x v="1"/>
    <s v="3.0–3.9"/>
  </r>
  <r>
    <s v="B0CWTYGPH8"/>
    <s v="acer Aspire Lite, AMD Ryzen 3 5300U Processor, 16 GB RAM, 512GB SSD, Full HD, 15.6&amp;quot;/39.62cm, Windows 11 Home, Steel Gray, 1.59KG, AL15-41, Metal Body, Premium Thin and Light Laptop"/>
    <s v="Laptop"/>
    <n v="49790"/>
    <n v="49990"/>
    <n v="4.0000000000000001E-3"/>
    <n v="4"/>
    <n v="358"/>
    <n v="1"/>
    <b v="0"/>
    <b v="0"/>
    <b v="0"/>
    <b v="0"/>
    <d v="2026-06-05T00:00:00"/>
    <n v="1432"/>
    <n v="49790"/>
    <x v="1"/>
    <s v="4.0–4.4"/>
  </r>
  <r>
    <s v="B0GFP4WSMB"/>
    <s v="HP Professional 14 (2026) â€“ Intel Core 5 120U (14th Gen), 16GB RAM, 512GB SSD, Windows 11 Pro, MSO 2024, Copilot Key, Fingerprint Reader, Intel Iris Xe Graphics, 14â€³ FHD Display, 1.53Kg â€“ Turbo Silver"/>
    <s v="Laptop"/>
    <n v="61700"/>
    <n v="85000"/>
    <n v="0.27400000000000002"/>
    <n v="5"/>
    <n v="1"/>
    <n v="1"/>
    <b v="0"/>
    <b v="0"/>
    <b v="0"/>
    <b v="0"/>
    <d v="2026-06-05T00:00:00"/>
    <n v="5"/>
    <n v="61700"/>
    <x v="1"/>
    <s v="4.5–5.0"/>
  </r>
  <r>
    <s v="B0GVT7T169"/>
    <s v="ASUS Vivobook 15, Thin &amp;amp; Light Laptop,(i5 14th Gen) Intel Core 5 120U (16GB/512GB SSD/Intel Graphics/ 15.6&amp;quot; FHD/Windows 11 H/Office 2024+M365 Basic(1-Year)/Backlit KB/Terra Cotta), X1504VAP-BQ1543WS"/>
    <s v="Laptop"/>
    <n v="58990"/>
    <n v="73990"/>
    <n v="0.20300000000000001"/>
    <m/>
    <n v="0"/>
    <n v="1"/>
    <b v="0"/>
    <b v="0"/>
    <b v="0"/>
    <b v="0"/>
    <d v="2026-06-05T00:00:00"/>
    <s v=""/>
    <n v="58990"/>
    <x v="1"/>
    <s v="Not Rated"/>
  </r>
  <r>
    <s v="B0FK59XW2C"/>
    <s v="Lenovo Yoga Slim 7 Intel Core Ultra 7 155H 14&amp;quot;(35.5cm) WUXGA-OLED 400Nits Laptop (32GB RAM/1TB SSD/AI PC/2Wx4 Speakers/Windows 11/Office Home 2024/1Yr ADP Free/Grey/1.39Kg), 83CV00D3IN"/>
    <s v="Laptop"/>
    <n v="129990"/>
    <n v="139990"/>
    <n v="7.0999999999999994E-2"/>
    <n v="4.8"/>
    <n v="10"/>
    <n v="1"/>
    <b v="0"/>
    <b v="0"/>
    <b v="0"/>
    <b v="0"/>
    <d v="2026-06-05T00:00:00"/>
    <n v="48"/>
    <n v="129990"/>
    <x v="1"/>
    <s v="4.5–5.0"/>
  </r>
  <r>
    <s v="B0F5B1N9SJ"/>
    <s v="HP 15, Intel Core Ultra 5 125H (16GB DDR5, 1TB SSD) FHD, IPS, 15.6&amp;#x27;&amp;#x27;/39.6cm, Win11, M365 Basic(1yr)*Office24, Silver, 1.65kg, fd1354TU, Intel Arc Graphics, FHD Camera w/Shutter, AI Powered Laptop"/>
    <s v="Laptop"/>
    <n v="74990"/>
    <n v="86451"/>
    <n v="0.13300000000000001"/>
    <n v="3.8"/>
    <n v="366"/>
    <n v="1"/>
    <b v="0"/>
    <b v="0"/>
    <b v="0"/>
    <b v="0"/>
    <d v="2026-06-05T00:00:00"/>
    <n v="1390.8"/>
    <n v="74990"/>
    <x v="1"/>
    <s v="3.0–3.9"/>
  </r>
  <r>
    <s v="B0FVX5P8LB"/>
    <s v="acer Aspire 14, 13th Gen, Intel Core i7-13620H Processors, 16 GB RAM, 512 GB SSD, Full HD IPS, 14&amp;quot;/35.56 cm, Windows 11 Home, MSO, Pure Silver, 1.44 kg, AS14H-53, Backlit KB, Thin and Light Laptop"/>
    <s v="Laptop"/>
    <n v="65990"/>
    <n v="84990"/>
    <n v="0.224"/>
    <n v="3.7"/>
    <n v="2"/>
    <n v="1"/>
    <b v="0"/>
    <b v="0"/>
    <b v="0"/>
    <b v="0"/>
    <d v="2026-06-05T00:00:00"/>
    <n v="7.4"/>
    <n v="65990"/>
    <x v="1"/>
    <s v="3.0–3.9"/>
  </r>
  <r>
    <s v="B0GHSN1N24"/>
    <s v="HP Professional 15 (2026), Intel (i3 14th Gen) Core 3 100U - (16 GB/512 GB SSD/Intel UHD Graphics/Windows 11 Home) Thin &amp;amp; Light Business Laptop/15.6&amp;quot; Display/Turbo Silver/Copilot Key/1.5kg/MS Office"/>
    <s v="Laptop"/>
    <n v="52300"/>
    <n v="75000"/>
    <n v="0.30299999999999999"/>
    <m/>
    <n v="0"/>
    <n v="1"/>
    <b v="0"/>
    <b v="0"/>
    <b v="0"/>
    <b v="0"/>
    <d v="2026-06-05T00:00:00"/>
    <s v=""/>
    <n v="52300"/>
    <x v="1"/>
    <s v="Not Rated"/>
  </r>
  <r>
    <s v="B0H1W663BW"/>
    <s v="ð—›ð—£ð—£ð—¿ð—¼ð—¯ð—¼ð—¼ð—¸Model 430 G3 Business Laptop | InteI i5 6th Gen | 8GB RAM | 256GB SSD | WiFi | Webcam | Win10 Pro | Pre Owned &amp;amp; Professionally Tested | Excellent Condition"/>
    <s v="Laptop"/>
    <n v="22800"/>
    <n v="44999"/>
    <n v="0.49299999999999999"/>
    <m/>
    <n v="0"/>
    <n v="1"/>
    <b v="0"/>
    <b v="0"/>
    <b v="0"/>
    <b v="0"/>
    <d v="2026-06-05T00:00:00"/>
    <s v=""/>
    <n v="22800"/>
    <x v="1"/>
    <s v="Not Rated"/>
  </r>
  <r>
    <s v="B0F9X5DSBS"/>
    <s v="ASUS TUF F16, 14th Gen,Intel Core i7 14650HX,RTX 5060-8GB,16GB,1TB,FHD+,16&amp;quot;,165Hz,90WHrs,Windows 11,M365 Basic (1Year)*,Office 2024,Jaeger Gray,2.2 Kg, FX608JMR-RV049WS, Gaming Laptop"/>
    <s v="Laptop"/>
    <n v="149990"/>
    <n v="173990"/>
    <n v="0.13800000000000001"/>
    <n v="4.4000000000000004"/>
    <n v="96"/>
    <n v="1"/>
    <b v="0"/>
    <b v="0"/>
    <b v="0"/>
    <b v="0"/>
    <d v="2026-06-05T00:00:00"/>
    <n v="422.40000000000003"/>
    <n v="149990"/>
    <x v="1"/>
    <s v="4.0–4.4"/>
  </r>
  <r>
    <s v="B0F8QB4SBH"/>
    <s v="Lenovo IdeaPad Slim 3 13th Gen Intel Core i3-1315U 15.6 inch (39.6cm) FHD Laptop (8GB RAM/512GB SSD/Windows 11/Office 2024/Backlit Keyboard/1Yr ADP Free/3 Month Game Pass/Grey/1.6Kg), 82X700FXIN"/>
    <s v="Laptop"/>
    <n v="49650"/>
    <n v="85000"/>
    <n v="0.41599999999999998"/>
    <n v="3.1"/>
    <n v="2"/>
    <n v="1"/>
    <b v="0"/>
    <b v="0"/>
    <b v="0"/>
    <b v="0"/>
    <d v="2026-06-05T00:00:00"/>
    <n v="6.2"/>
    <n v="49650"/>
    <x v="1"/>
    <s v="3.0–3.9"/>
  </r>
  <r>
    <s v="B0GNK6BHB2"/>
    <s v="Dell Inspiron 5440 Notebook Computer, Intel Core 3 100U 14th Gen Processor, 8GB DDR5 RAM, 512GB SSD, 14&amp;quot; FHD+ Screen, Ubuntu, 1Yr Warranty, Ice Blue"/>
    <s v="Laptop"/>
    <n v="43660"/>
    <n v="55000"/>
    <n v="0.20599999999999999"/>
    <n v="4.3"/>
    <n v="4"/>
    <n v="1"/>
    <b v="0"/>
    <b v="0"/>
    <b v="0"/>
    <b v="0"/>
    <d v="2026-06-05T00:00:00"/>
    <n v="17.2"/>
    <n v="43660"/>
    <x v="1"/>
    <s v="4.0–4.4"/>
  </r>
  <r>
    <s v="B0CRKX3JRT"/>
    <s v="Dell G Series, 13th Gen Intel Core i5-13450HX, NVIDIA RTX 3050-6GB, 16GB DDR5, 512GB SSD, FHD, 15.6&amp;quot;/39.62cm, Windows 11, Microsoft Office Home 2024, 2.65KG, G15-5530, Backlit Keyboard, Gaming Laptop"/>
    <s v="Laptop"/>
    <n v="76990"/>
    <n v="103436"/>
    <n v="0.25600000000000001"/>
    <n v="4"/>
    <n v="1506"/>
    <n v="1"/>
    <b v="0"/>
    <b v="0"/>
    <b v="0"/>
    <b v="0"/>
    <d v="2026-06-05T00:00:00"/>
    <n v="6024"/>
    <n v="76990"/>
    <x v="1"/>
    <s v="4.0–4.4"/>
  </r>
  <r>
    <s v="B0GLXWY8ZX"/>
    <s v="acer Aspire 3, Intel Pentium N6000, 12GB LPDDR4X RAM, 512GB SSD, HD, 15.6&amp;quot;/39.62cm, Windows 11 Home, Pure Silver, 1.5KG, A325-45, Thin and Light Laptop"/>
    <s v="Laptop"/>
    <n v="39990"/>
    <n v="49990"/>
    <n v="0.2"/>
    <n v="2.7"/>
    <n v="11"/>
    <n v="1"/>
    <b v="0"/>
    <b v="0"/>
    <b v="0"/>
    <b v="0"/>
    <d v="2026-06-05T00:00:00"/>
    <n v="29.700000000000003"/>
    <n v="39990"/>
    <x v="1"/>
    <s v="2.0–2.9"/>
  </r>
  <r>
    <s v="B0C3D8BZVQ"/>
    <s v="HP 15 Laptop, AMD Ryzen 5 7520U (16GB DDR5,512GB SSD) Win11,M365 Basic(1yr)*Office Home24, Anti-Glare,15.6&amp;#x27;&amp;#x27;/39.6cm,FHD,Backlit KB,FHD Camera w/Privacy Shutter,Radeon Graphics, Silver,1.59kg FC0690AU"/>
    <s v="Laptop"/>
    <n v="55490"/>
    <n v="55691"/>
    <n v="4.0000000000000001E-3"/>
    <n v="4.2"/>
    <n v="71"/>
    <n v="1"/>
    <b v="0"/>
    <b v="0"/>
    <b v="0"/>
    <b v="0"/>
    <d v="2026-06-05T00:00:00"/>
    <n v="298.2"/>
    <n v="55490"/>
    <x v="1"/>
    <s v="4.0–4.4"/>
  </r>
  <r>
    <s v="B0G3PMNXLJ"/>
    <s v="HP 15, 13th Gen Intel Core i3-1315U (8GB DDR4, 512GB SSD), FHD, Micro -Edge, Anti-Glare, 15.6&amp;#x27;&amp;#x27;/39.6cm, Win11, M365* Office24, Silver, 1.59kg, fd0624tu, FHD Camera, UHD Graphics Laptop"/>
    <s v="Laptop"/>
    <n v="48990"/>
    <n v="49631"/>
    <n v="1.2999999999999999E-2"/>
    <m/>
    <n v="0"/>
    <n v="1"/>
    <b v="0"/>
    <b v="0"/>
    <b v="0"/>
    <b v="0"/>
    <d v="2026-06-05T00:00:00"/>
    <s v=""/>
    <n v="48990"/>
    <x v="1"/>
    <s v="Not Rated"/>
  </r>
  <r>
    <s v="B0FHY9XRGT"/>
    <s v="Alienware 16 Area-51 Gaming Laptop, AI Enabled Core Ultra 9 275HX Proc, 32GB DDR5, 1TB SSD, RTX 5070Ti 12GB GDDR7 Graphics, 16.0&amp;quot; WQXGA 240Hz 500 nits Display, Liquid Teal Color, Win 11 + MSO&amp;#x27;24,3.4kg"/>
    <s v="Laptop"/>
    <n v="343990"/>
    <n v="407392"/>
    <n v="0.156"/>
    <m/>
    <n v="0"/>
    <n v="1"/>
    <b v="0"/>
    <b v="0"/>
    <b v="0"/>
    <b v="0"/>
    <d v="2026-06-05T00:00:00"/>
    <s v=""/>
    <n v="343990"/>
    <x v="1"/>
    <s v="Not Rated"/>
  </r>
  <r>
    <s v="B0FFTLRYRV"/>
    <s v="HP 15, Intel Core 5 120U (14th Gen) 16GB DDR4, 512GB SSD, FHD, Anti-Glare, Micro-Edge, 15.6&amp;#x27;&amp;#x27;/39.6cm, Win11, M365 Basic(1yr), Office24, Silver,1.59kg, FD0640TU/682tu, FHD Camera w/Shutter, BL Laptop"/>
    <s v="Laptop"/>
    <n v="67990"/>
    <n v="69629"/>
    <n v="2.4E-2"/>
    <n v="3.9"/>
    <n v="9"/>
    <n v="1"/>
    <b v="0"/>
    <b v="0"/>
    <b v="0"/>
    <b v="0"/>
    <d v="2026-06-05T00:00:00"/>
    <n v="35.1"/>
    <n v="67990"/>
    <x v="1"/>
    <s v="3.0–3.9"/>
  </r>
  <r>
    <s v="B0GXDP9V8C"/>
    <s v="Wireless Bluetooth Headphones with Deep Bass Sound, Foldable Design, Comfortable Cushioned Earpads, Built-in Mic for Music &amp;amp; Calls, Average Battery(1-3 Hours) Backup, Stylish Everyday Use"/>
    <s v="Headphones"/>
    <n v="299"/>
    <n v="999"/>
    <n v="0.70099999999999996"/>
    <n v="2.7"/>
    <n v="9"/>
    <n v="1"/>
    <b v="0"/>
    <b v="0"/>
    <b v="0"/>
    <b v="0"/>
    <d v="2026-06-05T00:00:00"/>
    <n v="24.3"/>
    <n v="299"/>
    <x v="4"/>
    <s v="2.0–2.9"/>
  </r>
  <r>
    <s v="B0F5PX1JVY"/>
    <s v="Sony WH-CH520 Wireless Bluetooth Headphones On Ear with Mic, Up to 50Hrs Battery-Pink"/>
    <s v="Headphones"/>
    <n v="4490"/>
    <n v="5990"/>
    <n v="0.25"/>
    <n v="4.2"/>
    <n v="29505"/>
    <n v="1"/>
    <b v="0"/>
    <b v="0"/>
    <b v="0"/>
    <b v="0"/>
    <d v="2026-06-05T00:00:00"/>
    <n v="123921"/>
    <n v="4490"/>
    <x v="2"/>
    <s v="4.0–4.4"/>
  </r>
  <r>
    <s v="B0FQJQDPF7"/>
    <s v="pTron Studio w/ 60Hrs Playtime, Wireless Over-Ear Headphones with HD Mic, Dual-Device Pairing, Immersive Sound, 40mm Drivers, BT5.4, 3.5mm Aux Port, TF Card Slot &amp;amp; Type-C Fast Charging (Beige)"/>
    <s v="Headphones"/>
    <n v="649"/>
    <n v="2599"/>
    <n v="0.75"/>
    <n v="3.8"/>
    <n v="459"/>
    <n v="1"/>
    <b v="0"/>
    <b v="0"/>
    <b v="0"/>
    <b v="0"/>
    <d v="2026-06-05T00:00:00"/>
    <n v="1744.1999999999998"/>
    <n v="649"/>
    <x v="5"/>
    <s v="3.0–3.9"/>
  </r>
  <r>
    <s v="B00KGZZ824"/>
    <s v="Sony MDR-ZX110A On Ear Stereo Wired Headphones (White), Without Mic"/>
    <s v="Headphones"/>
    <n v="559"/>
    <n v="1390"/>
    <n v="0.59799999999999998"/>
    <n v="4"/>
    <n v="67452"/>
    <n v="1"/>
    <b v="0"/>
    <b v="0"/>
    <b v="1"/>
    <b v="0"/>
    <d v="2026-06-05T00:00:00"/>
    <n v="269808"/>
    <n v="559"/>
    <x v="5"/>
    <s v="4.0–4.4"/>
  </r>
  <r>
    <s v="B09B5BS6G4"/>
    <s v="ZEBRONICS Thunder (2026 Upgrade) Wireless Headphones, BT v6.0, True 60 hrs Playback, 40mm Drivers, ENC, Gaming Mode, Dual Pairing, AUX &amp;amp; microSD, Rapid Charging, Call Function (Teal Green)"/>
    <s v="Headphones"/>
    <n v="749"/>
    <n v="1699"/>
    <n v="0.55900000000000005"/>
    <n v="3.8"/>
    <n v="81867"/>
    <n v="1"/>
    <b v="0"/>
    <b v="0"/>
    <b v="0"/>
    <b v="0"/>
    <d v="2026-06-05T00:00:00"/>
    <n v="311094.59999999998"/>
    <n v="749"/>
    <x v="5"/>
    <s v="3.0–3.9"/>
  </r>
  <r>
    <s v="B0DGTTKCJX"/>
    <s v="boAt Rockerz 480, RGB LEDs,6 Light Modes, 40mm Drivers,Beast Mode, 60H Battery, ENx Tech, Stream Ad Free Music via App Support, Bluetooth Headphones, Wireless Over Ear Headphone with Mic (White Sabre)"/>
    <s v="Headphones"/>
    <n v="1599"/>
    <n v="3790"/>
    <n v="0.57799999999999996"/>
    <n v="4.0999999999999996"/>
    <n v="3939"/>
    <n v="1"/>
    <b v="0"/>
    <b v="0"/>
    <b v="0"/>
    <b v="0"/>
    <d v="2026-06-05T00:00:00"/>
    <n v="16149.899999999998"/>
    <n v="1599"/>
    <x v="2"/>
    <s v="4.0–4.4"/>
  </r>
  <r>
    <s v="B0CWVX1GNX"/>
    <s v="Sony ULT Wear WH-ULT900N Noise Cancellation Wireless Bluetooth Over Ear Headphones with Massive Bass, Up to 50Hrs Battery-Black"/>
    <s v="Headphones"/>
    <n v="16990"/>
    <n v="24990"/>
    <n v="0.32"/>
    <n v="4.3"/>
    <n v="3467"/>
    <n v="1"/>
    <b v="0"/>
    <b v="0"/>
    <b v="0"/>
    <b v="0"/>
    <d v="2026-06-05T00:00:00"/>
    <n v="14908.099999999999"/>
    <n v="16990"/>
    <x v="1"/>
    <s v="4.0–4.4"/>
  </r>
  <r>
    <s v="B0F7LY85KB"/>
    <s v="Boat Rockerz 421, 60H Battery, Low Latency(40Ms), 40Mm Drivers, ENx Tech, Stream Ad Free Music via App Support, Bluetooth Headphones, Wireless Over Ear Headphone with Mic (Bold Blue)"/>
    <s v="Headphones"/>
    <n v="1099"/>
    <n v="2490"/>
    <n v="0.55900000000000005"/>
    <n v="3.9"/>
    <n v="2079"/>
    <n v="1"/>
    <b v="0"/>
    <b v="0"/>
    <b v="0"/>
    <b v="0"/>
    <d v="2026-06-05T00:00:00"/>
    <n v="8108.0999999999995"/>
    <n v="1099"/>
    <x v="2"/>
    <s v="3.0–3.9"/>
  </r>
  <r>
    <s v="B09R24HMNW"/>
    <s v="ZEBRONICS Bro 3.5Mm Wired in Ear Earphones, in-Line Mic, Deep Bass, 1.2M Strong and Long Lasting Cable, Light Weight, Compatible with Mobile | Tablet | Laptop (Blue)"/>
    <s v="Headphones"/>
    <n v="139"/>
    <n v="399"/>
    <n v="0.65200000000000002"/>
    <n v="3.5"/>
    <n v="69921"/>
    <n v="1"/>
    <b v="0"/>
    <b v="0"/>
    <b v="0"/>
    <b v="0"/>
    <d v="2026-06-05T00:00:00"/>
    <n v="244723.5"/>
    <n v="139"/>
    <x v="4"/>
    <s v="3.0–3.9"/>
  </r>
  <r>
    <s v="B0BXXPG6FP"/>
    <s v="Sony WH-CH720N Active Noise Cancellation Wireless Bluetooth Over Ear Headphones with Mic, Adaptive Sound Control, Quick Charge, Up to 35Hrs Battery, Customized EQ- Blue : Model : YY2966"/>
    <s v="Headphones"/>
    <n v="9431"/>
    <n v="14990"/>
    <n v="0.371"/>
    <n v="4.3"/>
    <n v="15735"/>
    <n v="1"/>
    <b v="0"/>
    <b v="0"/>
    <b v="0"/>
    <b v="0"/>
    <d v="2026-06-05T00:00:00"/>
    <n v="67660.5"/>
    <n v="9431"/>
    <x v="0"/>
    <s v="4.0–4.4"/>
  </r>
  <r>
    <s v="B0GXDPKM5J"/>
    <s v="Wireless Bluetooth Headphones with Deep Bass Sound, Foldable Design, Comfortable Cushioned Earpads, Built-in Mic for Music &amp;amp; Calls, Average Battery(1-3 Hours) Backup, Stylish Everyday Use"/>
    <s v="Headphones"/>
    <n v="299"/>
    <n v="999"/>
    <n v="0.70099999999999996"/>
    <n v="2.7"/>
    <n v="9"/>
    <n v="1"/>
    <b v="0"/>
    <b v="0"/>
    <b v="0"/>
    <b v="0"/>
    <d v="2026-06-05T00:00:00"/>
    <n v="24.3"/>
    <n v="299"/>
    <x v="4"/>
    <s v="2.0–2.9"/>
  </r>
  <r>
    <s v="B0FC2Y8XYF"/>
    <s v="Boat Rockerz 411, 40Ms Low Latency, 40Hrs Battery, 40Mm Drivers, ENx Tech, Stream Ad Free Music via App Support, Bluetooth Headphones, Wireless Over Ear Headphone with Mic (Active Black)"/>
    <s v="Headphones"/>
    <n v="1199"/>
    <n v="2999"/>
    <n v="0.6"/>
    <n v="4.2"/>
    <n v="28473"/>
    <n v="1"/>
    <b v="0"/>
    <b v="0"/>
    <b v="0"/>
    <b v="0"/>
    <d v="2026-06-05T00:00:00"/>
    <n v="119586.6"/>
    <n v="1199"/>
    <x v="2"/>
    <s v="4.0–4.4"/>
  </r>
  <r>
    <s v="B0FGTZ19JS"/>
    <s v="pTron Studio Evo 70hrs Playtime Wireless Over Ear Headphones w/HD Mic, Dual Device Pairing, Low-Latency Game/Movie/Music Modes, Punchy Bass, BT5.3, Voice Assistant &amp;amp; Type-C Fast Charging (Beige)"/>
    <s v="Headphones"/>
    <n v="797"/>
    <n v="3199"/>
    <n v="0.751"/>
    <n v="4.0999999999999996"/>
    <n v="1916"/>
    <n v="1"/>
    <b v="0"/>
    <b v="0"/>
    <b v="0"/>
    <b v="0"/>
    <d v="2026-06-05T00:00:00"/>
    <n v="7855.5999999999995"/>
    <n v="797"/>
    <x v="5"/>
    <s v="4.0–4.4"/>
  </r>
  <r>
    <s v="B09CYX92NB"/>
    <s v="JBL Tune 770NC Wireless Over Ear ANC Headphones with Mic, Upto 70 Hrs Battery, Speed Charge : 5 min Charge Gives up to 3H of Playback, Customized EQ, Google Fast Pair, Dual Pairing, BT 5.3 (Black)"/>
    <s v="Headphones"/>
    <n v="4999"/>
    <n v="9999"/>
    <n v="0.5"/>
    <n v="4.0999999999999996"/>
    <n v="11390"/>
    <n v="1"/>
    <b v="0"/>
    <b v="0"/>
    <b v="0"/>
    <b v="0"/>
    <d v="2026-06-05T00:00:00"/>
    <n v="46698.999999999993"/>
    <n v="4999"/>
    <x v="2"/>
    <s v="4.0–4.4"/>
  </r>
  <r>
    <s v="B0FG2QT7H2"/>
    <s v="Boat Rockerz 512 ANC,(~40dB) Hybrid ANC, 80H Battery, 40mm Drivers, 40ms Low Latency, ENx Tech,Stream Ad Free Music via App Support, Bluetooth Headphones, Wireless Headphone with Mic (Cosmic Black)"/>
    <s v="Headphones"/>
    <n v="2699"/>
    <n v="7990"/>
    <n v="0.66200000000000003"/>
    <n v="4.2"/>
    <n v="31059"/>
    <n v="1"/>
    <b v="0"/>
    <b v="0"/>
    <b v="0"/>
    <b v="0"/>
    <d v="2026-06-05T00:00:00"/>
    <n v="130447.8"/>
    <n v="2699"/>
    <x v="2"/>
    <s v="4.0–4.4"/>
  </r>
  <r>
    <s v="B0B4G44RFS"/>
    <s v="ZEBRONICS Storm Wired On Ear Headphone with 3.5mm Jack, Built-in Microphone for Calling,1.5 Meter Cable, Soft Ear Cushion, Adjustable Headband,Foldable Ear Cups (Black)"/>
    <s v="Headphones"/>
    <n v="449"/>
    <n v="799"/>
    <n v="0.438"/>
    <n v="3.7"/>
    <n v="4662"/>
    <n v="1"/>
    <b v="0"/>
    <b v="0"/>
    <b v="0"/>
    <b v="0"/>
    <d v="2026-06-05T00:00:00"/>
    <n v="17249.400000000001"/>
    <n v="449"/>
    <x v="4"/>
    <s v="3.0–3.9"/>
  </r>
  <r>
    <s v="B0CY1PL36Q"/>
    <s v="Noise Airwave Max 4 Wireless Over Ear Headphones with 70H Playtime, ENC, 40mm Driver, Low Latency(up to 40ms), Dual Pairing, BT v5.4 (Calm Beige)"/>
    <s v="Headphones"/>
    <n v="2499"/>
    <n v="5999"/>
    <n v="0.58299999999999996"/>
    <n v="3.8"/>
    <n v="4353"/>
    <n v="1"/>
    <b v="0"/>
    <b v="0"/>
    <b v="0"/>
    <b v="0"/>
    <d v="2026-06-05T00:00:00"/>
    <n v="16541.399999999998"/>
    <n v="2499"/>
    <x v="2"/>
    <s v="3.0–3.9"/>
  </r>
  <r>
    <s v="B0B1PX62WJ"/>
    <s v="Noise Two Wireless On Ear Headphones with 50 Hours Playtime, Low Latency(up to 45ms), 4 Play Modes, Dual Pairing, BT v5.3 (Bold Black)"/>
    <s v="Headphones"/>
    <n v="1499"/>
    <n v="4999"/>
    <n v="0.7"/>
    <n v="3.7"/>
    <n v="4693"/>
    <n v="1"/>
    <b v="0"/>
    <b v="0"/>
    <b v="0"/>
    <b v="0"/>
    <d v="2026-06-05T00:00:00"/>
    <n v="17364.100000000002"/>
    <n v="1499"/>
    <x v="2"/>
    <s v="3.0–3.9"/>
  </r>
  <r>
    <s v="B0DV5GLTLZ"/>
    <s v="Boat Rockerz 650 Pro, Touch/Swipe Controls, Dolby Audio, 80Hrs Battery, 2Mics ENx, Fast Charge, App Support, Dual Pair, Bluetooth Over Ear Headphones with Mic (Sage Green)"/>
    <s v="Headphones"/>
    <n v="2699"/>
    <n v="8990"/>
    <n v="0.7"/>
    <n v="4.2"/>
    <n v="3871"/>
    <n v="1"/>
    <b v="0"/>
    <b v="0"/>
    <b v="0"/>
    <b v="0"/>
    <d v="2026-06-05T00:00:00"/>
    <n v="16258.2"/>
    <n v="2699"/>
    <x v="2"/>
    <s v="4.0–4.4"/>
  </r>
  <r>
    <s v="B00Y4ORQ46"/>
    <s v="Logitech H111 Wired On Ear Headphones With Mic Black"/>
    <s v="Headphones"/>
    <n v="745"/>
    <n v="955"/>
    <n v="0.22"/>
    <n v="3.9"/>
    <n v="20495"/>
    <n v="1"/>
    <b v="0"/>
    <b v="0"/>
    <b v="0"/>
    <b v="0"/>
    <d v="2026-06-05T00:00:00"/>
    <n v="79930.5"/>
    <n v="745"/>
    <x v="5"/>
    <s v="3.0–3.9"/>
  </r>
  <r>
    <s v="B071Z8M4KX"/>
    <s v="Boat BassHeads 100 in-Ear Headphones with Mic (Black)"/>
    <s v="Headphones"/>
    <n v="349"/>
    <n v="999"/>
    <n v="0.65100000000000002"/>
    <n v="4.0999999999999996"/>
    <n v="435089"/>
    <n v="1"/>
    <b v="0"/>
    <b v="0"/>
    <b v="0"/>
    <b v="0"/>
    <d v="2026-06-05T00:00:00"/>
    <n v="1783864.9"/>
    <n v="349"/>
    <x v="4"/>
    <s v="4.0–4.4"/>
  </r>
  <r>
    <s v="B0FHHKP966"/>
    <s v="Boat Bassheads 211 Wired Earphones with 10mm Drivers, Signature Sound, in-Line Microphone, 3.5mm Jack, Voice Assistant &amp;amp; 120cm Cables (Raging Black)"/>
    <s v="Headphones"/>
    <n v="299"/>
    <n v="599"/>
    <n v="0.501"/>
    <n v="4"/>
    <n v="118740"/>
    <n v="1"/>
    <b v="0"/>
    <b v="0"/>
    <b v="0"/>
    <b v="0"/>
    <d v="2026-06-05T00:00:00"/>
    <n v="474960"/>
    <n v="299"/>
    <x v="4"/>
    <s v="4.0–4.4"/>
  </r>
  <r>
    <s v="B0FHHM74H8"/>
    <s v="Boat Rockerz Plus 550, Customizable Earcups, 100H Battery, 50mm Drivers, Dual Pair, Stream Ad Free Music via App Support, Bluetooth Headphones, Wireless Headphone with Mic (Black Psyche)"/>
    <s v="Headphones"/>
    <n v="1899"/>
    <n v="4990"/>
    <n v="0.61899999999999999"/>
    <n v="4.0999999999999996"/>
    <n v="66390"/>
    <n v="1"/>
    <b v="0"/>
    <b v="0"/>
    <b v="0"/>
    <b v="0"/>
    <d v="2026-06-05T00:00:00"/>
    <n v="272199"/>
    <n v="1899"/>
    <x v="2"/>
    <s v="4.0–4.4"/>
  </r>
  <r>
    <s v="B08KHT2HDT"/>
    <s v="Marshall Major IV Wireless Bluetooth On Ear Headphone with Mic (Black)"/>
    <s v="Headphones"/>
    <n v="9999"/>
    <n v="14999"/>
    <n v="0.33300000000000002"/>
    <n v="4.3"/>
    <n v="16791"/>
    <n v="1"/>
    <b v="0"/>
    <b v="0"/>
    <b v="0"/>
    <b v="0"/>
    <d v="2026-06-05T00:00:00"/>
    <n v="72201.3"/>
    <n v="9999"/>
    <x v="0"/>
    <s v="4.0–4.4"/>
  </r>
  <r>
    <s v="B074ZF7PVZ"/>
    <s v="boAt Bassheads 900 On Ear Wired Headphone With Mic"/>
    <s v="Headphones"/>
    <n v="899"/>
    <n v="2490"/>
    <n v="0.63900000000000001"/>
    <n v="4.2"/>
    <n v="78437"/>
    <n v="1"/>
    <b v="0"/>
    <b v="0"/>
    <b v="0"/>
    <b v="0"/>
    <d v="2026-06-05T00:00:00"/>
    <n v="329435.40000000002"/>
    <n v="899"/>
    <x v="5"/>
    <s v="4.0–4.4"/>
  </r>
  <r>
    <s v="B0DT9T945X"/>
    <s v="GOBOULT X Mustang Q Over Ear Bluetooth Headphones 70H Playtime, 40mm Bass Drivers, Zen ENC Mic, Type-C Fast Charging, 4 EQ Mode, Bluetooth 5.4, AUX Option, IPX5 Wireless Headphones"/>
    <s v="Headphones"/>
    <n v="2499"/>
    <n v="6999"/>
    <n v="0.64300000000000002"/>
    <n v="4"/>
    <n v="1215"/>
    <n v="1"/>
    <b v="0"/>
    <b v="0"/>
    <b v="0"/>
    <b v="0"/>
    <d v="2026-06-05T00:00:00"/>
    <n v="4860"/>
    <n v="2499"/>
    <x v="2"/>
    <s v="4.0–4.4"/>
  </r>
  <r>
    <s v="B0GXL3373V"/>
    <s v="GOBOULT Fluid X 60Hrs Playtime, 40mm Boosted Drivers, Foldable Design, ENC Mic, 5.4v Bluetooth &amp;amp; Wired Headset (Electric Black, On the Ear)"/>
    <s v="Headphones"/>
    <n v="1999"/>
    <n v="5999"/>
    <n v="0.66700000000000004"/>
    <n v="4.0999999999999996"/>
    <n v="101"/>
    <n v="1"/>
    <b v="0"/>
    <b v="0"/>
    <b v="0"/>
    <b v="0"/>
    <d v="2026-06-05T00:00:00"/>
    <n v="414.09999999999997"/>
    <n v="1999"/>
    <x v="2"/>
    <s v="4.0–4.4"/>
  </r>
  <r>
    <s v="B01DF26V7A"/>
    <s v="JBL C100SI Wired In Ear Headphones with Mic, JBL Pure Bass Sound, One Button Multi-function Remote, Premium Metallic Finish, Angled Buds for Comfort fit (Red)"/>
    <s v="Headphones"/>
    <n v="649"/>
    <n v="1299"/>
    <n v="0.5"/>
    <n v="4.0999999999999996"/>
    <n v="205880"/>
    <n v="1"/>
    <b v="0"/>
    <b v="0"/>
    <b v="0"/>
    <b v="0"/>
    <d v="2026-06-05T00:00:00"/>
    <n v="844107.99999999988"/>
    <n v="649"/>
    <x v="5"/>
    <s v="4.0–4.4"/>
  </r>
  <r>
    <s v="B08WBJHVYV"/>
    <s v="Razer BlackShark V2 X Smartchoice Wired Gaming Headset with Mic, 7.1 Surround Sound, 50mm Drivers, Memory Foam Cushions, Multi-Platform (PC/PS/Xbox/Switch/Mobile), 3.5mm Jack_Black"/>
    <s v="Headphones"/>
    <n v="3999"/>
    <n v="7999"/>
    <n v="0.5"/>
    <n v="4.4000000000000004"/>
    <n v="4443"/>
    <n v="1"/>
    <b v="0"/>
    <b v="0"/>
    <b v="0"/>
    <b v="0"/>
    <d v="2026-06-05T00:00:00"/>
    <n v="19549.2"/>
    <n v="3999"/>
    <x v="2"/>
    <s v="4.0–4.4"/>
  </r>
  <r>
    <s v="B00SAYCXWG"/>
    <s v="HyperX Cloud II â€“ Wired Gaming Headset for PC, PS5 / PS4. Active Noise Cancellation, Over Ear, circumaural, Closed Back, HyperX Virtual 7.1 Surround Sound - Black-Red (4P5M0AA)"/>
    <s v="Headphones"/>
    <n v="5499"/>
    <n v="12987"/>
    <n v="0.57699999999999996"/>
    <n v="4.3"/>
    <n v="97953"/>
    <n v="1"/>
    <b v="0"/>
    <b v="0"/>
    <b v="0"/>
    <b v="0"/>
    <d v="2026-06-05T00:00:00"/>
    <n v="421197.89999999997"/>
    <n v="5499"/>
    <x v="0"/>
    <s v="4.0–4.4"/>
  </r>
  <r>
    <s v="B0GXDT4CHF"/>
    <s v="Wireless Bluetooth Headphones with Deep Bass Sound, Foldable Design, Comfortable Cushioned Earpads, Built-in Mic for Music &amp;amp; Calls, Average Battery(1-3 Hours) Backup, Stylish Everyday Use"/>
    <s v="Headphones"/>
    <n v="299"/>
    <n v="999"/>
    <n v="0.70099999999999996"/>
    <n v="2.7"/>
    <n v="9"/>
    <n v="1"/>
    <b v="0"/>
    <b v="0"/>
    <b v="0"/>
    <b v="0"/>
    <d v="2026-06-05T00:00:00"/>
    <n v="24.3"/>
    <n v="299"/>
    <x v="4"/>
    <s v="2.0–2.9"/>
  </r>
  <r>
    <s v="B0DGX1VCWX"/>
    <s v="Spigen Audio Newly Launched SA-HP P10 Wireless Over Ear Headphones with 60H Playtime, Upto 43dB Multi-Mode Adaptive ANC Pro, EQ Customizing App, 5-MIC, Gaming Mode, 40mm Driver - Black"/>
    <s v="Headphones"/>
    <n v="2499"/>
    <n v="5899"/>
    <n v="0.57599999999999996"/>
    <n v="4.3"/>
    <n v="124"/>
    <n v="1"/>
    <b v="0"/>
    <b v="0"/>
    <b v="0"/>
    <b v="0"/>
    <d v="2026-06-05T00:00:00"/>
    <n v="533.19999999999993"/>
    <n v="2499"/>
    <x v="2"/>
    <s v="4.0–4.4"/>
  </r>
  <r>
    <s v="B0FRSD3CF5"/>
    <s v="boAt Rockerz Trendz, 40mm Drivers, 50hrs Battery, 60ms Low Latency, ENx Tech, BT v5.4, Foldable Cups, Voice Assistant, Bluetooth Headphones, Wireless Headphone with Mic - Bold Blue"/>
    <s v="Headphones"/>
    <n v="998"/>
    <n v="2999"/>
    <n v="0.66700000000000004"/>
    <n v="4"/>
    <n v="116"/>
    <n v="2"/>
    <b v="0"/>
    <b v="0"/>
    <b v="0"/>
    <b v="0"/>
    <d v="2026-06-05T00:00:00"/>
    <n v="464"/>
    <n v="998"/>
    <x v="5"/>
    <s v="4.0–4.4"/>
  </r>
  <r>
    <s v="B0D7QKT1N2"/>
    <s v="M.G.R.JÂ® Portable Carrying Case Cover for Boat Rockerz 450 Bluetooth On Ear Headphones (Hard|EVA|Black)"/>
    <s v="Headphones"/>
    <n v="299"/>
    <n v="999"/>
    <n v="0.70099999999999996"/>
    <n v="4.2"/>
    <n v="564"/>
    <n v="1"/>
    <b v="0"/>
    <b v="0"/>
    <b v="0"/>
    <b v="0"/>
    <d v="2026-06-05T00:00:00"/>
    <n v="2368.8000000000002"/>
    <n v="299"/>
    <x v="4"/>
    <s v="4.0–4.4"/>
  </r>
  <r>
    <s v="B0G59967NX"/>
    <s v="Portronics Muffs M6 Over Ear Wireless Bluetooth Headphone with Upto 40 Hours Playtime, Dual Pairing, 40mm Driver, HD Mic, Bluetooth 5.4V, Foldable Design, Type C Fast Charging (Black)"/>
    <s v="Headphones"/>
    <n v="1149"/>
    <n v="2499"/>
    <n v="0.54"/>
    <n v="4.3"/>
    <n v="389"/>
    <n v="1"/>
    <b v="0"/>
    <b v="0"/>
    <b v="0"/>
    <b v="0"/>
    <d v="2026-06-05T00:00:00"/>
    <n v="1672.6999999999998"/>
    <n v="1149"/>
    <x v="2"/>
    <s v="4.0–4.4"/>
  </r>
  <r>
    <s v="B000AJIF4E"/>
    <s v="Sony MDR-7506 Professional Wired On Ear Headphones (Best Compatible with Professional Cinema Line Camera) - Black"/>
    <s v="Headphones"/>
    <n v="7846"/>
    <n v="9990"/>
    <n v="0.215"/>
    <n v="4.5999999999999996"/>
    <n v="27075"/>
    <n v="1"/>
    <b v="0"/>
    <b v="0"/>
    <b v="0"/>
    <b v="0"/>
    <d v="2026-06-05T00:00:00"/>
    <n v="124544.99999999999"/>
    <n v="7846"/>
    <x v="0"/>
    <s v="4.5–5.0"/>
  </r>
  <r>
    <s v="B0FS1Z5X5Z"/>
    <s v="Noise Airwave Max 6 Wireless Bluetooth Headphones (2026 Launch), Hi-Res LDAC Audio, Adaptive ANC 45dB, 120H Battery, Low Latency 80ms, Deep Bass, Over-Ear Noise Cancelling Headphones (Forest Green)"/>
    <s v="Headphones"/>
    <n v="6499"/>
    <n v="6999"/>
    <n v="7.0999999999999994E-2"/>
    <m/>
    <n v="0"/>
    <n v="1"/>
    <b v="0"/>
    <b v="0"/>
    <b v="0"/>
    <b v="0"/>
    <d v="2026-06-05T00:00:00"/>
    <s v=""/>
    <n v="6499"/>
    <x v="0"/>
    <s v="Not Rated"/>
  </r>
  <r>
    <s v="B009LJ2BXA"/>
    <s v="HP Wired On Ear Headphones with Mic with 3.5 Mm Drivers, in-Built Noise Cancelling, Foldable and Adjustable for Laptop/Pc/Office/Home/ 1 Year Warranty (B4B09PA)"/>
    <s v="Headphones"/>
    <n v="665"/>
    <n v="889"/>
    <n v="0.252"/>
    <n v="3.5"/>
    <n v="10539"/>
    <n v="1"/>
    <b v="0"/>
    <b v="0"/>
    <b v="0"/>
    <b v="0"/>
    <d v="2026-06-05T00:00:00"/>
    <n v="36886.5"/>
    <n v="665"/>
    <x v="5"/>
    <s v="3.0–3.9"/>
  </r>
  <r>
    <s v="B00K0AMYFO"/>
    <s v="Sony ZX Series MDR-ZX310AP Wired Headband Stereo On Ear Headset -Blue"/>
    <s v="Headphones"/>
    <n v="1099"/>
    <n v="2190"/>
    <n v="0.498"/>
    <n v="4.0999999999999996"/>
    <n v="1801"/>
    <n v="1"/>
    <b v="0"/>
    <b v="0"/>
    <b v="0"/>
    <b v="0"/>
    <d v="2026-06-05T00:00:00"/>
    <n v="7384.0999999999995"/>
    <n v="1099"/>
    <x v="2"/>
    <s v="4.0–4.4"/>
  </r>
  <r>
    <s v="B0GS8X6VX6"/>
    <s v="Zebronics Wireless Headphones, Hybrid ANC 48dB, Upto 100Hrs Playback, 40mm Drivers, Dual Mic ENC, BT v6.0, Gaming Mode, Dual Pairing, Touch Controls, App Support, AUX (Silencio 200T, Blue)"/>
    <s v="Headphones"/>
    <n v="2999"/>
    <n v="9999"/>
    <n v="0.7"/>
    <n v="4.0999999999999996"/>
    <n v="41"/>
    <n v="1"/>
    <b v="0"/>
    <b v="0"/>
    <b v="0"/>
    <b v="0"/>
    <d v="2026-06-05T00:00:00"/>
    <n v="168.1"/>
    <n v="2999"/>
    <x v="2"/>
    <s v="4.0–4.4"/>
  </r>
  <r>
    <s v="B0DGJLL7V1"/>
    <s v="Apple AirPods 4 Wireless Earbuds, Bluetooth Headphones, Personalised Spatial Audio, Sweat and Water Resistant, USB-C Charging Case, H2 Chip, Up to 30 Hours of Battery Life, Effortless Setup for iPhone"/>
    <s v="Headphones"/>
    <n v="11700"/>
    <n v="12900"/>
    <n v="9.2999999999999999E-2"/>
    <n v="4.2"/>
    <n v="1135"/>
    <n v="1"/>
    <b v="0"/>
    <b v="0"/>
    <b v="0"/>
    <b v="0"/>
    <d v="2026-06-05T00:00:00"/>
    <n v="4767"/>
    <n v="11700"/>
    <x v="1"/>
    <s v="4.0–4.4"/>
  </r>
  <r>
    <s v="B0CHMMVHQL"/>
    <s v="JBL Live 770NC True Adaptive Noise Cancellation Headphones Wireless Over Ear, Spatial Sound, 65Hrs Playtime, Speed Charge, Multipoint Connect &amp;amp; Personi-Fi 2.0, Customized EQ, Google Fast Pair, Blue"/>
    <s v="Headphones"/>
    <n v="8999"/>
    <n v="14999"/>
    <n v="0.4"/>
    <n v="4.0999999999999996"/>
    <n v="693"/>
    <n v="1"/>
    <b v="0"/>
    <b v="0"/>
    <b v="0"/>
    <b v="0"/>
    <d v="2026-06-05T00:00:00"/>
    <n v="2841.2999999999997"/>
    <n v="8999"/>
    <x v="0"/>
    <s v="4.0–4.4"/>
  </r>
  <r>
    <s v="B0D573NP19"/>
    <s v="ZEBRONICS Duke Plus (2026 Upgrade) Wireless Headphones, BT v5.4, Upto 70hrs Playback, 40mm Drivers, Gaming Mode, ENC, Dual Pairing, Rapid Charge, AUX, 3 EQ Modes (Black)"/>
    <s v="Headphones"/>
    <n v="1399"/>
    <n v="7999"/>
    <n v="0.82499999999999996"/>
    <n v="3.8"/>
    <n v="16702"/>
    <n v="1"/>
    <b v="0"/>
    <b v="0"/>
    <b v="0"/>
    <b v="0"/>
    <d v="2026-06-05T00:00:00"/>
    <n v="63467.6"/>
    <n v="1399"/>
    <x v="2"/>
    <s v="3.0–3.9"/>
  </r>
  <r>
    <s v="B0F29P775Z"/>
    <s v="Sounce Portable Carrying Case Cover for Boult Newly Launched Q Over-Ear Bluetooth Headphones | Hard EVA Travel Storage Case with Shockproof, Waterproof, andPremium Protective Cover â€“ Black"/>
    <s v="Headphones"/>
    <n v="249"/>
    <n v="499"/>
    <n v="0.501"/>
    <n v="4.2"/>
    <n v="1297"/>
    <n v="1"/>
    <b v="0"/>
    <b v="0"/>
    <b v="0"/>
    <b v="0"/>
    <d v="2026-06-05T00:00:00"/>
    <n v="5447.4000000000005"/>
    <n v="249"/>
    <x v="4"/>
    <s v="4.0–4.4"/>
  </r>
  <r>
    <s v="B0FBRGKXHG"/>
    <s v="OnePlus Bullets Wireless Z3 in-Ear Neckband with 12.4mm Drivers, 3D Spatial Audio,10 mins Charge for 27 hrs Playback, 4 EQ preset, Dynamic bass Enhancement &amp;amp; BT5.4"/>
    <s v="Headphones"/>
    <n v="1699"/>
    <n v="1999"/>
    <n v="0.15"/>
    <n v="4.2"/>
    <n v="231223"/>
    <n v="1"/>
    <b v="0"/>
    <b v="0"/>
    <b v="0"/>
    <b v="0"/>
    <d v="2026-06-05T00:00:00"/>
    <n v="971136.60000000009"/>
    <n v="1699"/>
    <x v="2"/>
    <s v="4.0–4.4"/>
  </r>
  <r>
    <s v="B0FZC523RD"/>
    <s v="pTron Tangent Rush w/ 50Hrs Playtime, Pristine Sound, Dual-Device Pairing, Bluetooth 5.4 Wireless in-Ear Earphones with Mic, Voice Assistant, Type-C Fast Charging &amp;amp; IPX5 Water Resistant (Ink Blue)"/>
    <s v="Headphones"/>
    <n v="497"/>
    <n v="1799"/>
    <n v="0.72399999999999998"/>
    <n v="3.6"/>
    <n v="1196"/>
    <n v="1"/>
    <b v="0"/>
    <b v="0"/>
    <b v="0"/>
    <b v="0"/>
    <d v="2026-06-05T00:00:00"/>
    <n v="4305.6000000000004"/>
    <n v="497"/>
    <x v="4"/>
    <s v="3.0–3.9"/>
  </r>
  <r>
    <s v="B0BZHT8T7T"/>
    <s v="Boat Rockerz 551ANC, 100HRS Battery, Hybrid ANC(~35Db), Fast Charge, Ambient Sound Mode &amp;amp; Dual EQ Modes, Enx Tech, Bluetooth Headphones, Over Ear Wireless Headphone with Mic (Sage Green)"/>
    <s v="Headphones"/>
    <n v="2799"/>
    <n v="7990"/>
    <n v="0.65"/>
    <n v="3.5"/>
    <n v="2518"/>
    <n v="1"/>
    <b v="0"/>
    <b v="0"/>
    <b v="0"/>
    <b v="0"/>
    <d v="2026-06-05T00:00:00"/>
    <n v="8813"/>
    <n v="2799"/>
    <x v="2"/>
    <s v="3.0–3.9"/>
  </r>
  <r>
    <s v="B0F9PJJLCT"/>
    <s v="Noise Newly Launched Airwave Max XR Wireless Over-Ear Headphones with 120H Playtime, ANC, HFA Tech, Spatial Audio, Dual Pairing,BT V6.0(Pearl Beige)"/>
    <s v="Headphones"/>
    <n v="2999"/>
    <n v="4999"/>
    <n v="0.4"/>
    <m/>
    <n v="0"/>
    <n v="1"/>
    <b v="0"/>
    <b v="0"/>
    <b v="0"/>
    <b v="0"/>
    <d v="2026-06-05T00:00:00"/>
    <s v=""/>
    <n v="2999"/>
    <x v="2"/>
    <s v="Not Rated"/>
  </r>
  <r>
    <s v="B0BSGXWTGP"/>
    <s v="Bouncefit D20 Y68 Fitness Band Smart Watch for Men, Women, Boys, Girls, Kids â€“ Single Touch Interface, Water Resistant, Workout Modes, Quick Charge Sports Smartwatch â€“ Jet Black"/>
    <s v="Smartwatch"/>
    <n v="396"/>
    <n v="2999"/>
    <n v="0.86799999999999999"/>
    <n v="3.4"/>
    <n v="4138"/>
    <n v="1"/>
    <b v="0"/>
    <b v="0"/>
    <b v="0"/>
    <b v="0"/>
    <d v="2026-06-05T00:00:00"/>
    <n v="14069.199999999999"/>
    <n v="396"/>
    <x v="4"/>
    <s v="3.0–3.9"/>
  </r>
  <r>
    <s v="B0D9629NJQ"/>
    <s v="Fastrack Limitless Glide X 1.83&amp;quot; Smart Watch with Ultra UV HD Display, SpO2, Heart Rate &amp;amp; Sleep Tracking, Bluetooth Calling, 100+ Sports Modes, 5-Day Battery, Smartwatch for Men &amp;amp; Women (Black)"/>
    <s v="Smartwatch"/>
    <n v="1299"/>
    <n v="2799"/>
    <n v="0.53600000000000003"/>
    <n v="4"/>
    <n v="4014"/>
    <n v="1"/>
    <b v="0"/>
    <b v="0"/>
    <b v="1"/>
    <b v="0"/>
    <d v="2026-06-05T00:00:00"/>
    <n v="16056"/>
    <n v="1299"/>
    <x v="2"/>
    <s v="4.0–4.4"/>
  </r>
  <r>
    <s v="B0D45BT2S2"/>
    <s v="Bouncefit M I D116 Fitness Band Smart Watch for Men, Women, Boys, Girls, Kids â€“ Single Touch Interface, Water Resistant, Workout Modes, Quick Charge Sports Smartwatch â€“ Black I"/>
    <s v="Smartwatch"/>
    <n v="396"/>
    <n v="2999"/>
    <n v="0.86799999999999999"/>
    <n v="3.6"/>
    <n v="539"/>
    <n v="1"/>
    <b v="0"/>
    <b v="0"/>
    <b v="0"/>
    <b v="0"/>
    <d v="2026-06-05T00:00:00"/>
    <n v="1940.4"/>
    <n v="396"/>
    <x v="4"/>
    <s v="3.0–3.9"/>
  </r>
  <r>
    <s v="B0DY7YPBJL"/>
    <s v="Fire-Boltt Phoenix Pro Round Smart Watch 1.39â€³ HD Display with Bluetooth Calling, AI Voice Assistant, SpO2 &amp;amp; Heart Rate Monitor, 120+ Sports Modes, IP67 Waterproof Smartwatch for Men &amp;amp; Women - Brown"/>
    <s v="Smartwatch"/>
    <n v="1099"/>
    <n v="11999"/>
    <n v="0.90800000000000003"/>
    <n v="3.7"/>
    <n v="6827"/>
    <n v="1"/>
    <b v="0"/>
    <b v="0"/>
    <b v="0"/>
    <b v="0"/>
    <d v="2026-06-05T00:00:00"/>
    <n v="25259.9"/>
    <n v="1099"/>
    <x v="2"/>
    <s v="3.0–3.9"/>
  </r>
  <r>
    <s v="B0G61HJYR3"/>
    <s v="Fire-Boltt Ninja X Ring Smart Watch with 1.96â€ Large Display, Bluetooth Calling, Wireless Charging, AI Voice Assistant, 500+ Watch Faces, Health Suite, Smart Watch for Man &amp;amp; Woman â€“ Blue S"/>
    <s v="Smartwatch"/>
    <n v="1099"/>
    <n v="9999"/>
    <n v="0.89"/>
    <n v="4.0999999999999996"/>
    <n v="18663"/>
    <n v="1"/>
    <b v="0"/>
    <b v="0"/>
    <b v="0"/>
    <b v="0"/>
    <d v="2026-06-05T00:00:00"/>
    <n v="76518.299999999988"/>
    <n v="1099"/>
    <x v="2"/>
    <s v="4.0–4.4"/>
  </r>
  <r>
    <s v="B0CQ4KTCH1"/>
    <s v="Noise Twist Go Round dial Smartwatch with BT Calling, 1.39&amp;quot; Display, Metal Build, 100+ Watch Faces, IP68, Sleep Tracking, 100+ Sports Modes, 24/7 Heart Rate Monitoring (Jet Black)"/>
    <s v="Smartwatch"/>
    <n v="1599"/>
    <n v="4999"/>
    <n v="0.68"/>
    <n v="4"/>
    <n v="54869"/>
    <n v="1"/>
    <b v="0"/>
    <b v="0"/>
    <b v="0"/>
    <b v="0"/>
    <d v="2026-06-05T00:00:00"/>
    <n v="219476"/>
    <n v="1599"/>
    <x v="2"/>
    <s v="4.0–4.4"/>
  </r>
  <r>
    <s v="B0FLF38P8G"/>
    <s v="Boat Wave Call 3 Smartwatch 1.83â€ HD Display with Animated Watch Faces; BT Calling, Functional Crown, Multiple Sports Modes, IP68, HR, SpO2 Monitor, Smart Watches for Men &amp;amp; Women (Spring Blossom)"/>
    <s v="Smartwatch"/>
    <n v="1399"/>
    <n v="6999"/>
    <n v="0.8"/>
    <n v="4.0999999999999996"/>
    <n v="25992"/>
    <n v="1"/>
    <b v="0"/>
    <b v="0"/>
    <b v="0"/>
    <b v="0"/>
    <d v="2026-06-05T00:00:00"/>
    <n v="106567.2"/>
    <n v="1399"/>
    <x v="2"/>
    <s v="4.0–4.4"/>
  </r>
  <r>
    <s v="B0B854R7NS"/>
    <s v="Fire-Boltt Ninja Call Pro Bluetooth Calling Smart Watch, 1.69â€³ HD Display,Dual Chip,AI Voice Assistant, 120+ Sports Modes, SpO2 &amp;amp; Heart Rate Monitor, Fitness Tracker Smartwatch for Men &amp;amp; Women - Black"/>
    <s v="Smartwatch"/>
    <n v="1399"/>
    <n v="17999"/>
    <n v="0.92200000000000004"/>
    <n v="3.9"/>
    <n v="131228"/>
    <n v="1"/>
    <b v="0"/>
    <b v="0"/>
    <b v="0"/>
    <b v="0"/>
    <d v="2026-06-05T00:00:00"/>
    <n v="511789.2"/>
    <n v="1399"/>
    <x v="2"/>
    <s v="3.0–3.9"/>
  </r>
  <r>
    <s v="B0D963J6GN"/>
    <s v="Fastrack Limitless Glide X 1.83&amp;quot; Smart Watch with Ultra UV HD Display, SpO2, Heart Rate &amp;amp; Sleep Tracking, Bluetooth Calling, 100+ Sports Modes, 5-Day Battery, Smartwatch for Men &amp;amp; Women (Blue)"/>
    <s v="Smartwatch"/>
    <n v="1299"/>
    <n v="2799"/>
    <n v="0.53600000000000003"/>
    <n v="4"/>
    <n v="419"/>
    <n v="1"/>
    <b v="0"/>
    <b v="0"/>
    <b v="0"/>
    <b v="0"/>
    <d v="2026-06-05T00:00:00"/>
    <n v="1676"/>
    <n v="1299"/>
    <x v="2"/>
    <s v="4.0–4.4"/>
  </r>
  <r>
    <s v="B0B6BPTFT5"/>
    <s v="Noise Pulse 2 Max 1.85&amp;quot; Display, Bluetooth Calling Smart Watch, 10 Days Battery, 550 NITS Brightness, Smart DND, 100 Sports Modes, Smartwatch for Men and Women (Deep Wine)"/>
    <s v="Smartwatch"/>
    <n v="1499"/>
    <n v="5999"/>
    <n v="0.75"/>
    <n v="4"/>
    <n v="25468"/>
    <n v="1"/>
    <b v="0"/>
    <b v="0"/>
    <b v="0"/>
    <b v="0"/>
    <d v="2026-06-05T00:00:00"/>
    <n v="101872"/>
    <n v="1499"/>
    <x v="2"/>
    <s v="4.0–4.4"/>
  </r>
  <r>
    <s v="B0F2Z2TRK9"/>
    <s v="Fire-Boltt Talk Round Smart Watch 1.39â€³ TFT Display with Bluetooth Calling, Dual Button, Voice Assistance, SPOâ‚‚ &amp;amp; Heart Rate Monitor, 120+ Sports Modes, Smartwatch for Men &amp;amp; Women - Green"/>
    <s v="Smartwatch"/>
    <n v="1299"/>
    <n v="11999"/>
    <n v="0.89200000000000002"/>
    <n v="4"/>
    <n v="61557"/>
    <n v="1"/>
    <b v="0"/>
    <b v="0"/>
    <b v="0"/>
    <b v="0"/>
    <d v="2026-06-05T00:00:00"/>
    <n v="246228"/>
    <n v="1299"/>
    <x v="2"/>
    <s v="4.0–4.4"/>
  </r>
  <r>
    <s v="B0DFYL4635"/>
    <s v="Boat Lunar Discovery w/ 1.39&amp;quot; (3.5 cm) HD Display, Turn-by-Turn Navigation, DIY Watch Face Studio, Bluetooth Calling, Emergency SOS, QR Tray, Smart Watch for Men &amp;amp; Women(Active Black)"/>
    <s v="Smartwatch"/>
    <n v="1199"/>
    <n v="8499"/>
    <n v="0.85899999999999999"/>
    <n v="3.8"/>
    <n v="5716"/>
    <n v="1"/>
    <b v="0"/>
    <b v="0"/>
    <b v="0"/>
    <b v="0"/>
    <d v="2026-06-05T00:00:00"/>
    <n v="21720.799999999999"/>
    <n v="1199"/>
    <x v="2"/>
    <s v="3.0–3.9"/>
  </r>
  <r>
    <s v="B0DS14JKB1"/>
    <s v="MARVIK Smart Watch for Kids, Men, Boys, Girls, and Women, D20 Plus 2025, Latest for Android and iOS Phones, IP68 Waterproof with Daily Activity Tracker, Heart Rate Sensor, Sleep Monitor Watch - Black"/>
    <s v="Smartwatch"/>
    <n v="399"/>
    <n v="999"/>
    <n v="0.60099999999999998"/>
    <n v="3"/>
    <n v="1641"/>
    <n v="1"/>
    <b v="0"/>
    <b v="0"/>
    <b v="0"/>
    <b v="0"/>
    <d v="2026-06-05T00:00:00"/>
    <n v="4923"/>
    <n v="399"/>
    <x v="4"/>
    <s v="3.0–3.9"/>
  </r>
  <r>
    <s v="B0GX7VDRDQ"/>
    <s v="T800 Ultra Smart Watch, Orange Ocean Band, 1.99 Inch Display, Wireless Charging"/>
    <s v="Smartwatch"/>
    <n v="449"/>
    <n v="999"/>
    <n v="0.55100000000000005"/>
    <n v="5"/>
    <n v="2"/>
    <n v="1"/>
    <b v="0"/>
    <b v="0"/>
    <b v="0"/>
    <b v="0"/>
    <d v="2026-06-05T00:00:00"/>
    <n v="10"/>
    <n v="449"/>
    <x v="4"/>
    <s v="4.5–5.0"/>
  </r>
  <r>
    <s v="B0FDQK5KSZ"/>
    <s v="Samsung Galaxy Watch8 (44mm, LTE, Graphite) with 3nm Processor | Dual GPS | Sapphire Glass &amp;amp; Armor Aluminum | 5ATM &amp;amp; IP68 | BP, ECG, IHRN &amp;amp; Vascular Load Monitoring | Anti-oxidant Index"/>
    <s v="Smartwatch"/>
    <n v="25499"/>
    <n v="45999"/>
    <n v="0.44600000000000001"/>
    <n v="4.2"/>
    <n v="232"/>
    <n v="1"/>
    <b v="0"/>
    <b v="0"/>
    <b v="0"/>
    <b v="0"/>
    <d v="2026-06-05T00:00:00"/>
    <n v="974.40000000000009"/>
    <n v="25499"/>
    <x v="1"/>
    <s v="4.0–4.4"/>
  </r>
  <r>
    <s v="B0CMF25TKG"/>
    <s v="Fireâ€‘Boltt Rise Smart Watch 1.85â€³ HD Display with Bluetooth Calling, AI Voice Assistant, Rotating Crown,SpO2 &amp;amp; Heart Rate Monitor, 120+ Sports Modes,IP67 Waterproof Smart Watch for Men &amp;amp; Women - Black"/>
    <s v="Smartwatch"/>
    <n v="1199"/>
    <n v="11999"/>
    <n v="0.9"/>
    <n v="4"/>
    <n v="41250"/>
    <n v="1"/>
    <b v="0"/>
    <b v="0"/>
    <b v="0"/>
    <b v="0"/>
    <d v="2026-06-05T00:00:00"/>
    <n v="165000"/>
    <n v="1199"/>
    <x v="2"/>
    <s v="4.0–4.4"/>
  </r>
  <r>
    <s v="B0CVQDZWVX"/>
    <s v="OnePlus Watch 2 with Wear OS 4,Snapdragon W5 Chipset,Upto 100hrs battery life,1.43â€™â€™ AMOLED Display, Stainless Steel &amp;amp; Sapphire Crystal build,Dual Frequency GPS, 5 ATM, IP68 &amp;amp; BT Calling (Black Steel)"/>
    <s v="Smartwatch"/>
    <n v="14199"/>
    <n v="27999"/>
    <n v="0.49299999999999999"/>
    <n v="4.4000000000000004"/>
    <n v="776"/>
    <n v="1"/>
    <b v="0"/>
    <b v="0"/>
    <b v="0"/>
    <b v="0"/>
    <d v="2026-06-05T00:00:00"/>
    <n v="3414.4"/>
    <n v="14199"/>
    <x v="1"/>
    <s v="4.0–4.4"/>
  </r>
  <r>
    <s v="B0FSLT35WH"/>
    <s v="Redmi Move Smartwatch | 1.85&amp;quot; AMOLED (390Ã—450, 600 nits) | Bluetooth Calling | 140+ Sports | 24Ã—7 HR &amp;amp; SPOâ‚‚ | AOD | Up to 14-Day Battery | HyperOS (Blue Blaze Strap)"/>
    <s v="Smartwatch"/>
    <n v="2499"/>
    <n v="3999"/>
    <n v="0.375"/>
    <n v="4.0999999999999996"/>
    <n v="157"/>
    <n v="1"/>
    <b v="0"/>
    <b v="0"/>
    <b v="0"/>
    <b v="0"/>
    <d v="2026-06-05T00:00:00"/>
    <n v="643.69999999999993"/>
    <n v="2499"/>
    <x v="2"/>
    <s v="4.0–4.4"/>
  </r>
  <r>
    <s v="B0DH2SRQ3L"/>
    <s v="Redmi Watch 5 Lite, 1.96&amp;quot; Amoled, Advanced in-Built GPS, 5 ATM, 18 Day Battery, Bluetooth Calling with AI Noise Reduction, Always on Display, Light Gold"/>
    <s v="Smartwatch"/>
    <n v="3999"/>
    <n v="6999"/>
    <n v="0.42899999999999999"/>
    <n v="4.0999999999999996"/>
    <n v="1712"/>
    <n v="1"/>
    <b v="0"/>
    <b v="0"/>
    <b v="0"/>
    <b v="0"/>
    <d v="2026-06-05T00:00:00"/>
    <n v="7019.2"/>
    <n v="3999"/>
    <x v="2"/>
    <s v="4.0–4.4"/>
  </r>
  <r>
    <s v="B0DGGVHMDS"/>
    <s v="Fastrack Astor FR2 Pro 1.43&amp;quot; AMOLED Stainless Steel Smart Watch with SpO2, Heart Rate, BT Calling, Adaptive AOD, Functional Crown, AI Voice Assistant â€“ Smartwatch for Stylish Professionals (Black)"/>
    <s v="Smartwatch"/>
    <n v="2799"/>
    <n v="5499"/>
    <n v="0.49099999999999999"/>
    <n v="4.3"/>
    <n v="1386"/>
    <n v="1"/>
    <b v="0"/>
    <b v="0"/>
    <b v="0"/>
    <b v="0"/>
    <d v="2026-06-05T00:00:00"/>
    <n v="5959.8"/>
    <n v="2799"/>
    <x v="2"/>
    <s v="4.0–4.4"/>
  </r>
  <r>
    <s v="B0D95TMQ3M"/>
    <s v="Bouncefit M I D116 Fitness Band Smart Watch for Men, Women, Boys, Girls, Kids â€“ Single Touch Interface, Water Resistant, Workout Modes,Quick Charge Sports Smartwatch â€“ Black I"/>
    <s v="Smartwatch"/>
    <n v="396"/>
    <n v="2999"/>
    <n v="0.86799999999999999"/>
    <n v="3.5"/>
    <n v="1059"/>
    <n v="1"/>
    <b v="0"/>
    <b v="0"/>
    <b v="0"/>
    <b v="0"/>
    <d v="2026-06-05T00:00:00"/>
    <n v="3706.5"/>
    <n v="396"/>
    <x v="4"/>
    <s v="3.0–3.9"/>
  </r>
  <r>
    <s v="B0G64PBQYB"/>
    <s v="CrossBeats Armour Pro AI Premium Smart Watch for man | Latest 1.43â€ AMOLED Always on Display | 5 ATM Waterproof | 30-Day Battery |GPS BT Calling Smartwatch |150+ Sports Modes| BP HR SPO2 (Black)"/>
    <s v="Smartwatch"/>
    <n v="5999"/>
    <n v="9999"/>
    <n v="0.4"/>
    <n v="4.4000000000000004"/>
    <n v="382"/>
    <n v="1"/>
    <b v="0"/>
    <b v="0"/>
    <b v="0"/>
    <b v="0"/>
    <d v="2026-06-05T00:00:00"/>
    <n v="1680.8000000000002"/>
    <n v="5999"/>
    <x v="0"/>
    <s v="4.0–4.4"/>
  </r>
  <r>
    <s v="B0G1T2GZP9"/>
    <s v="Boat Lunar Discovery Neo, 1.39&amp;quot; (3.5 cm) Round HD Display, Premium Metallic Finish, Animated Watchfaces, 100+ Sports Mode, Bluetooth Calling, Smart Watch for Men &amp;amp; Women (Active Black)"/>
    <s v="Smartwatch"/>
    <n v="1399"/>
    <n v="6999"/>
    <n v="0.8"/>
    <n v="4"/>
    <n v="21378"/>
    <n v="1"/>
    <b v="0"/>
    <b v="0"/>
    <b v="0"/>
    <b v="0"/>
    <d v="2026-06-05T00:00:00"/>
    <n v="85512"/>
    <n v="1399"/>
    <x v="2"/>
    <s v="4.0–4.4"/>
  </r>
  <r>
    <s v="B0CQRQK8L8"/>
    <s v="Noise ColorFit Pulse 3 with 1.96&amp;quot; Biggest Display Bluetooth Calling Smart Watch, Premium Build, Auto Sport Detection &amp;amp; 170+ Watch Faces Smartwatch for Men &amp;amp; Women - Midnight Black"/>
    <s v="Smartwatch"/>
    <n v="1199"/>
    <n v="6999"/>
    <n v="0.82899999999999996"/>
    <n v="4"/>
    <n v="5456"/>
    <n v="1"/>
    <b v="0"/>
    <b v="0"/>
    <b v="0"/>
    <b v="0"/>
    <d v="2026-06-05T00:00:00"/>
    <n v="21824"/>
    <n v="1199"/>
    <x v="2"/>
    <s v="4.0–4.4"/>
  </r>
  <r>
    <s v="B0GRVG7C8D"/>
    <s v="T800 Ultra Smart Watch with Touch Display â€“ Bluetooth Calling Smartwatch | Health &amp;amp; Fitness Tracker with Sports Modes | Compatible with Android &amp;amp; iOS | Black Strap"/>
    <s v="Smartwatch"/>
    <m/>
    <m/>
    <m/>
    <n v="3.8"/>
    <n v="7"/>
    <n v="1"/>
    <b v="0"/>
    <b v="0"/>
    <b v="0"/>
    <b v="0"/>
    <d v="2026-06-05T00:00:00"/>
    <n v="26.599999999999998"/>
    <m/>
    <x v="3"/>
    <s v="3.0–3.9"/>
  </r>
  <r>
    <s v="B0F993RN8H"/>
    <s v="Fire-Boltt Legacy Luxury Round Smart Watch 1.43â€³ Super AMOLED,Bluetooth Calling,Wireless Charging,Voice Assistant,SpOâ‚‚ &amp;amp; Heart Rate Monitor,110+ Sports Modes, Metal Smart Watch for Men &amp;amp; Women - Black"/>
    <s v="Smartwatch"/>
    <n v="2099"/>
    <n v="21000"/>
    <n v="0.9"/>
    <n v="3.9"/>
    <n v="2395"/>
    <n v="1"/>
    <b v="0"/>
    <b v="0"/>
    <b v="0"/>
    <b v="0"/>
    <d v="2026-06-05T00:00:00"/>
    <n v="9340.5"/>
    <n v="2099"/>
    <x v="2"/>
    <s v="3.0–3.9"/>
  </r>
  <r>
    <s v="B0D1VKS2L9"/>
    <s v="Fastrack New Limitless X2 Smart Watch, 1.91&amp;quot; UltraVU with Rotating Crown, 60 Hz Refresh Rate, Advanced Chipset, SingleSync BT Calling, 100+ Sports Mode &amp;amp; Smartwatch Faces, IP68, (Black)"/>
    <s v="Smartwatch"/>
    <n v="1599"/>
    <n v="2995"/>
    <n v="0.46600000000000003"/>
    <n v="4"/>
    <n v="2493"/>
    <n v="1"/>
    <b v="0"/>
    <b v="0"/>
    <b v="0"/>
    <b v="0"/>
    <d v="2026-06-05T00:00:00"/>
    <n v="9972"/>
    <n v="1599"/>
    <x v="2"/>
    <s v="4.0–4.4"/>
  </r>
  <r>
    <s v="B0D5LRGSCR"/>
    <s v="Boat Storm Call 3 w/TBT Navigation, Daily Activity Tracker, DIY Watch Face Studio,700+ Active Modes, 1.83&amp;quot; (4.6 cm) HD Display Fitness Smart Watch for Men &amp;amp; Women(Active Black)"/>
    <s v="Smartwatch"/>
    <n v="1099"/>
    <n v="8449"/>
    <n v="0.87"/>
    <n v="4.0999999999999996"/>
    <n v="34928"/>
    <n v="1"/>
    <b v="0"/>
    <b v="0"/>
    <b v="0"/>
    <b v="0"/>
    <d v="2026-06-05T00:00:00"/>
    <n v="143204.79999999999"/>
    <n v="1099"/>
    <x v="2"/>
    <s v="4.0–4.4"/>
  </r>
  <r>
    <s v="B0FP2H4K27"/>
    <s v="Fire-Boltt Axiom Round Smart Watch 1.43â€³ Super AMOLED Display with Alwaysâ€‘On Mode, Bluetooth Calling, Rotating Crown, SPOâ‚‚ &amp;amp; Heart Rate Monitor, IP67 Waterproof Silicone Smartwatch for Men - White"/>
    <s v="Smartwatch"/>
    <n v="1899"/>
    <n v="18999"/>
    <n v="0.9"/>
    <n v="3.8"/>
    <n v="6885"/>
    <n v="1"/>
    <b v="0"/>
    <b v="0"/>
    <b v="0"/>
    <b v="0"/>
    <d v="2026-06-05T00:00:00"/>
    <n v="26163"/>
    <n v="1899"/>
    <x v="2"/>
    <s v="3.0–3.9"/>
  </r>
  <r>
    <s v="B0BRKXXPZ7"/>
    <s v="Fire-Boltt Phoenix Pro Round Smart Watch 1.39â€³ HD Display with Bluetooth Calling, AI Voice Assistant, SpO2 &amp;amp; Heart Rate Monitor, 120+ Sports Modes, IP67 Waterproof Smartwatch for Men &amp;amp; Women - Black"/>
    <s v="Smartwatch"/>
    <n v="1499"/>
    <n v="11999"/>
    <n v="0.875"/>
    <n v="3.9"/>
    <n v="105437"/>
    <n v="1"/>
    <b v="0"/>
    <b v="0"/>
    <b v="0"/>
    <b v="0"/>
    <d v="2026-06-05T00:00:00"/>
    <n v="411204.3"/>
    <n v="1499"/>
    <x v="2"/>
    <s v="3.0–3.9"/>
  </r>
  <r>
    <s v="B0DSWCCSXD"/>
    <s v="GameSir H18 Pro Smartwatch with Long Battery Life, 2.01&amp;quot; High-Resolution Screen, Bluetooth Calling, IP68 Waterproof, TFT Display, Luxury Design for Men &amp;amp; Women (Grey)"/>
    <s v="Smartwatch"/>
    <n v="939"/>
    <n v="4999"/>
    <n v="0.81200000000000006"/>
    <n v="4"/>
    <n v="146"/>
    <n v="1"/>
    <b v="0"/>
    <b v="0"/>
    <b v="0"/>
    <b v="0"/>
    <d v="2026-06-05T00:00:00"/>
    <n v="584"/>
    <n v="939"/>
    <x v="5"/>
    <s v="4.0–4.4"/>
  </r>
  <r>
    <s v="B0DNW6WRDZ"/>
    <s v="MARVIK Smart Watch for Kids, Men, Boys, Girls, and Women, ID116 Plus 2025, Latest for Android and iOS Phones, IP68 Waterproof with Daily Activity Tracker, Heart Rate Sensor, Sleep Monitor - Black"/>
    <s v="Smartwatch"/>
    <n v="399"/>
    <n v="999"/>
    <n v="0.60099999999999998"/>
    <n v="3.2"/>
    <n v="335"/>
    <n v="1"/>
    <b v="0"/>
    <b v="0"/>
    <b v="0"/>
    <b v="0"/>
    <d v="2026-06-05T00:00:00"/>
    <n v="1072"/>
    <n v="399"/>
    <x v="4"/>
    <s v="3.0–3.9"/>
  </r>
  <r>
    <s v="B0DDL8SLXN"/>
    <s v="Huawei Watch GT 5 46mm Smartwatch, Up to 14 Days Battery Life, iOS &amp;amp; Android Compatible,Built in Maps, Pro-Level Sports Call&amp;amp;Message Reply,(Black, 46mm)"/>
    <s v="Smartwatch"/>
    <n v="14999"/>
    <n v="24999"/>
    <n v="0.4"/>
    <n v="4.5"/>
    <n v="1171"/>
    <n v="1"/>
    <b v="0"/>
    <b v="0"/>
    <b v="0"/>
    <b v="0"/>
    <d v="2026-06-05T00:00:00"/>
    <n v="5269.5"/>
    <n v="14999"/>
    <x v="1"/>
    <s v="4.5–5.0"/>
  </r>
  <r>
    <s v="B0DDQCDQQG"/>
    <s v="Fastrack Jupitor R2 Smart Watch, 1.38â€ TFT Display, 240 * 240 Pixel Resolution, SingleSync BT Calling, AI Voice Assistant, 100+ Sports Modes &amp;amp; Smartwatch Faces,Upto 5 Day Battery, IP68 (Black)"/>
    <s v="Smartwatch"/>
    <n v="1699"/>
    <n v="3999"/>
    <n v="0.57499999999999996"/>
    <n v="4.0999999999999996"/>
    <n v="210"/>
    <n v="1"/>
    <b v="0"/>
    <b v="0"/>
    <b v="0"/>
    <b v="0"/>
    <d v="2026-06-05T00:00:00"/>
    <n v="860.99999999999989"/>
    <n v="1699"/>
    <x v="2"/>
    <s v="4.0–4.4"/>
  </r>
  <r>
    <s v="B0DKBZYXZY"/>
    <s v="Fire-Boltt Ninja Call Pro Max Ultra Bluetooth Calling Smart Watch, 2.01â€HD Display, AI Outfit Watch Face, 2 Looks in 1 Watch, Extra Straps at â‚¹99, 120+ Sports Modes, Smartwatch for Men &amp;amp; Women (Black)"/>
    <s v="Smartwatch"/>
    <n v="1099"/>
    <n v="16999"/>
    <n v="0.93500000000000005"/>
    <n v="3.4"/>
    <n v="924"/>
    <n v="1"/>
    <b v="0"/>
    <b v="0"/>
    <b v="0"/>
    <b v="0"/>
    <d v="2026-06-05T00:00:00"/>
    <n v="3141.6"/>
    <n v="1099"/>
    <x v="2"/>
    <s v="3.0–3.9"/>
  </r>
  <r>
    <s v="B0BY5BRLRB"/>
    <s v="Garmin Forerunner 965 GPS Triathlon Smartwatch,Amoled Touchscreen, Battery Upto 23 Days, HRV Status, Advanced Sleep Score, Track Running, Cross Training, Vo2 Max, ClimbPro, Load Ratio with Black Band"/>
    <s v="Smartwatch"/>
    <n v="39990"/>
    <n v="70990"/>
    <n v="0.437"/>
    <n v="4.0999999999999996"/>
    <n v="69"/>
    <n v="1"/>
    <b v="0"/>
    <b v="0"/>
    <b v="0"/>
    <b v="0"/>
    <d v="2026-06-05T00:00:00"/>
    <n v="282.89999999999998"/>
    <n v="39990"/>
    <x v="1"/>
    <s v="4.0–4.4"/>
  </r>
  <r>
    <s v="B0GLQKTKF6"/>
    <s v="GOBOULT Newly Launched Mustang Stallion Smart Watch 1.43&amp;#x27;&amp;#x27; AMOLED Display, Rotating Bezel, BT Calling, 200+Watchfaces, 700 Nits Brightness, AI Voice Assistant, SpO2 Monitoring (Turbo Orange)"/>
    <s v="Smartwatch"/>
    <n v="4499"/>
    <n v="14999"/>
    <n v="0.7"/>
    <n v="4.5999999999999996"/>
    <n v="71"/>
    <n v="1"/>
    <b v="0"/>
    <b v="0"/>
    <b v="0"/>
    <b v="0"/>
    <d v="2026-06-05T00:00:00"/>
    <n v="326.59999999999997"/>
    <n v="4499"/>
    <x v="2"/>
    <s v="4.5–5.0"/>
  </r>
  <r>
    <s v="B0GPDV4GGT"/>
    <s v="Boat Ultima Aeris 1.43&amp;quot; AMOLED Display, 1000 nits Brightness, Ultra Slim 8mm Metal Build, IP68, Auto HR &amp;amp; SpO2 Monitoring, Sleep &amp;amp; Stress Tracking, Stylish Smartwatch for Men &amp;amp; Women(Tan Brown)"/>
    <s v="Smartwatch"/>
    <n v="2999"/>
    <n v="6499"/>
    <n v="0.53900000000000003"/>
    <n v="1"/>
    <n v="1"/>
    <n v="1"/>
    <b v="0"/>
    <b v="0"/>
    <b v="0"/>
    <b v="0"/>
    <d v="2026-06-05T00:00:00"/>
    <n v="1"/>
    <n v="2999"/>
    <x v="2"/>
    <s v="Below 2.0"/>
  </r>
  <r>
    <s v="B0GH7QLM56"/>
    <s v="Fire-Boltt Phoenix Air Smart Watch 1.26â€ Round Display, Rotating Button, Wireless Charging, Ultra Lightweight Metal Body, Bluetooth Calling, Smartwatch with Silicone &amp;amp; Mesh Steel Straps Cloud White"/>
    <s v="Smartwatch"/>
    <n v="1299"/>
    <n v="14999"/>
    <n v="0.91300000000000003"/>
    <n v="4"/>
    <n v="1890"/>
    <n v="1"/>
    <b v="0"/>
    <b v="0"/>
    <b v="0"/>
    <b v="0"/>
    <d v="2026-06-05T00:00:00"/>
    <n v="7560"/>
    <n v="1299"/>
    <x v="2"/>
    <s v="4.0–4.4"/>
  </r>
  <r>
    <s v="B0CLRCTC58"/>
    <s v="Titan Crest 1.43â€ AMOLED Smart Watch with BT Calling, AI Morning Briefs, Functional Crown, Health Tracking, Aluminium Body, 100+ Sports Modes, Smartwatch for Men and Women - Black Silicone Strap"/>
    <s v="Smartwatch"/>
    <n v="4499"/>
    <n v="11995"/>
    <n v="0.625"/>
    <n v="4"/>
    <n v="815"/>
    <n v="1"/>
    <b v="0"/>
    <b v="0"/>
    <b v="0"/>
    <b v="0"/>
    <d v="2026-06-05T00:00:00"/>
    <n v="3260"/>
    <n v="4499"/>
    <x v="2"/>
    <s v="4.0–4.4"/>
  </r>
  <r>
    <s v="B0F5HRC4QC"/>
    <s v="Fastrack Limitless FS2 Pro 1.96&amp;quot; AMOLED Smart Watch with BT Calling, AI Voice Assistant, 100+ Sports Modes, 5-Day Battery, Fast Charge, Health Tracking, â€“ Smartwatch for Men &amp;amp; Women (Beige)"/>
    <s v="Smartwatch"/>
    <n v="2299"/>
    <n v="7995"/>
    <n v="0.71199999999999997"/>
    <n v="4"/>
    <n v="1844"/>
    <n v="1"/>
    <b v="0"/>
    <b v="0"/>
    <b v="0"/>
    <b v="0"/>
    <d v="2026-06-05T00:00:00"/>
    <n v="7376"/>
    <n v="2299"/>
    <x v="2"/>
    <s v="4.0–4.4"/>
  </r>
  <r>
    <s v="B09HVCFLG4"/>
    <s v="Amazfit GTR 3 Pro (Smartchoice) 46mm Smart Watch with BT Phone Calls, BP Monitoring, 1.45â€AMOLED Display, 24/7 HR Tracking, Alexa, GPS, WiFi, 12-Day Battery Life,150 Sports Modes(Infinite Black)"/>
    <s v="Smartwatch"/>
    <n v="9999"/>
    <n v="25999"/>
    <n v="0.61499999999999999"/>
    <n v="3.9"/>
    <n v="1613"/>
    <n v="1"/>
    <b v="0"/>
    <b v="0"/>
    <b v="0"/>
    <b v="1"/>
    <d v="2026-06-05T00:00:00"/>
    <n v="6290.7"/>
    <n v="9999"/>
    <x v="0"/>
    <s v="3.0–3.9"/>
  </r>
  <r>
    <s v="B0DZ2PDXLS"/>
    <s v="Boat Storm Infinity w/15 Days Extensive Battery Life, Only Charge Twice a Month, Huge 550mAh Battery, Fast Charge, 1.83â€(4.65cm) Display, Fitness Tracker, Smart Watch for Men &amp;amp; Women (Active Black)"/>
    <s v="Smartwatch"/>
    <n v="1199"/>
    <n v="5999"/>
    <n v="0.8"/>
    <n v="3.8"/>
    <n v="896"/>
    <n v="1"/>
    <b v="0"/>
    <b v="0"/>
    <b v="0"/>
    <b v="0"/>
    <d v="2026-06-05T00:00:00"/>
    <n v="3404.7999999999997"/>
    <n v="1199"/>
    <x v="2"/>
    <s v="3.0–3.9"/>
  </r>
  <r>
    <s v="B0CBXBY5CK"/>
    <s v="Punnk FunnkÂ® Q18 Present Smart Kids LBS Location Tracking Watch with Voice Calling, SOS, Remote Monitoring, Camera, Geo-Fencing Function (Ocean Green)"/>
    <s v="Smartwatch"/>
    <n v="1349"/>
    <n v="4999"/>
    <n v="0.73"/>
    <n v="3.1"/>
    <n v="1445"/>
    <n v="1"/>
    <b v="0"/>
    <b v="0"/>
    <b v="0"/>
    <b v="0"/>
    <d v="2026-06-05T00:00:00"/>
    <n v="4479.5"/>
    <n v="1349"/>
    <x v="2"/>
    <s v="3.0–3.9"/>
  </r>
  <r>
    <s v="B0DCZWZ39H"/>
    <s v="Redmi Watch 5 Active, 2&amp;quot; Display, Metal Body, 18 Day Battery, Bluetooth Calling, Advanced AI Noise Cancellation, Alexa, Matte Silver (M2351W1)"/>
    <s v="Smartwatch"/>
    <n v="2690"/>
    <n v="4999"/>
    <n v="0.46200000000000002"/>
    <n v="4.0999999999999996"/>
    <n v="1158"/>
    <n v="1"/>
    <b v="0"/>
    <b v="0"/>
    <b v="0"/>
    <b v="0"/>
    <d v="2026-06-05T00:00:00"/>
    <n v="4747.7999999999993"/>
    <n v="2690"/>
    <x v="2"/>
    <s v="4.0–4.4"/>
  </r>
  <r>
    <s v="B0FC6CGZTP"/>
    <s v="Noise Junior Explorer 2 Smart Watch for Kids with 4G SIM Compatible, 2-Way Video &amp;amp; Voice Calling, Geofencing, Real Time Location Monitoring via Google Maps, IP68, SOS Emergency Alerts (Power Pixel)"/>
    <s v="Smartwatch"/>
    <n v="6499"/>
    <n v="7999"/>
    <n v="0.188"/>
    <n v="4.0999999999999996"/>
    <n v="491"/>
    <n v="1"/>
    <b v="0"/>
    <b v="0"/>
    <b v="0"/>
    <b v="0"/>
    <d v="2026-06-05T00:00:00"/>
    <n v="2013.1"/>
    <n v="6499"/>
    <x v="0"/>
    <s v="4.0–4.4"/>
  </r>
  <r>
    <s v="B0DFYMY37Y"/>
    <s v="Titan Evolution Smartwatch Comes with 1.85â€ AMOLED Display with 390 * 450 Pixel Resolution|SingleSync BT Calling|AI Voice Assistant|100+ Sports Modes and Watchfaces|Upto 7 Day Battery|IP68"/>
    <s v="Smartwatch"/>
    <n v="4999"/>
    <n v="6999"/>
    <n v="0.28599999999999998"/>
    <n v="4.2"/>
    <n v="87"/>
    <n v="1"/>
    <b v="0"/>
    <b v="0"/>
    <b v="0"/>
    <b v="0"/>
    <d v="2026-06-05T00:00:00"/>
    <n v="365.40000000000003"/>
    <n v="4999"/>
    <x v="2"/>
    <s v="4.0–4.4"/>
  </r>
  <r>
    <s v="B0F4RH8CHC"/>
    <s v="Noise Icon 5 Smartwatch with AI Watch Faces &amp;amp; AI Search, 1.95â€ AMOLED Display, 10 Days Battery, Bluetooth Calling, 100+ Sports Modes, IP68 (Starlight Gold)"/>
    <s v="Smartwatch"/>
    <n v="1699"/>
    <n v="6999"/>
    <n v="0.75700000000000001"/>
    <n v="4"/>
    <n v="13"/>
    <n v="1"/>
    <b v="0"/>
    <b v="0"/>
    <b v="0"/>
    <b v="0"/>
    <d v="2026-06-05T00:00:00"/>
    <n v="52"/>
    <n v="1699"/>
    <x v="2"/>
    <s v="4.0–4.4"/>
  </r>
  <r>
    <s v="B0FHWWDRRM"/>
    <s v="OnePlus Pad Lite with Biggest Battery in Segment 9340 mAh, 11&amp;quot;(27.94 cm) Display with 500 nits Brightness &amp;amp; 11 Hrs of Video Playback, 6GB RAM 128GB Storage, WiFi, Aero Blue"/>
    <s v="Tablet"/>
    <n v="18499"/>
    <n v="19999"/>
    <n v="7.4999999999999997E-2"/>
    <n v="4.4000000000000004"/>
    <n v="749"/>
    <n v="3"/>
    <b v="0"/>
    <b v="0"/>
    <b v="1"/>
    <b v="0"/>
    <d v="2026-06-05T00:00:00"/>
    <n v="3295.6000000000004"/>
    <n v="18499"/>
    <x v="1"/>
    <s v="4.0–4.4"/>
  </r>
  <r>
    <s v="B0FBRVRF4F"/>
    <s v="Redmi Pad 2 Wi-Fi + Cellular, Active Pen Support, 27.94cm(11&amp;quot;) Model, 2.5K Sharp &amp;amp; Clear Display, 6GB, 128GB, All Day &amp;amp; More 9000mAh Battery, AI-Enabled, Dolby Atmos, HyperOS 2, Sky Blue"/>
    <s v="Tablet"/>
    <n v="19999"/>
    <m/>
    <m/>
    <n v="4.3"/>
    <n v="669"/>
    <n v="2"/>
    <b v="0"/>
    <b v="0"/>
    <b v="0"/>
    <b v="0"/>
    <d v="2026-06-05T00:00:00"/>
    <n v="2876.7"/>
    <n v="19999"/>
    <x v="1"/>
    <s v="4.0–4.4"/>
  </r>
  <r>
    <s v="B0GWMMPJ42"/>
    <s v="DOMO Slate SL39 10.1-Inch 4G Tablet PC, inbuilt Storage, 4GB RAM + 32GB,1TB Expandable, Dual SIM Slot, Octa Core CPU, Bluetooth, GPS (Green)"/>
    <s v="Tablet"/>
    <n v="7550"/>
    <n v="24990"/>
    <n v="0.69799999999999995"/>
    <n v="3.6"/>
    <n v="5"/>
    <n v="1"/>
    <b v="0"/>
    <b v="0"/>
    <b v="0"/>
    <b v="0"/>
    <d v="2026-06-05T00:00:00"/>
    <n v="18"/>
    <n v="7550"/>
    <x v="0"/>
    <s v="3.0–3.9"/>
  </r>
  <r>
    <s v="B0G24QRHLG"/>
    <s v="Lenovo Tab (Smartchoice)| 10.1 Inch Display| Wi-Fi Only| 4GB RAM + 128GB ROM (Expandable up to 1 TB)| Metal Body| Dual Speakers with Dolby Atmos| Android 14| Color: Polar Blue"/>
    <s v="Tablet"/>
    <n v="14999"/>
    <n v="19000"/>
    <n v="0.21099999999999999"/>
    <n v="4.3"/>
    <n v="521"/>
    <n v="1"/>
    <b v="0"/>
    <b v="0"/>
    <b v="0"/>
    <b v="0"/>
    <d v="2026-06-05T00:00:00"/>
    <n v="2240.2999999999997"/>
    <n v="14999"/>
    <x v="1"/>
    <s v="4.0–4.4"/>
  </r>
  <r>
    <s v="B0GQSH6FBT"/>
    <s v="Redmi Pad 2 Wi-Fi, Active Pen Support, 27.94cm(11&amp;quot;) Model, 2.5K Sharp &amp;amp; Clear Display, 8GB, 128GB, All Day &amp;amp; More 9000mAh Battery, AI-Enabled, Dolby Atmos, HyperOS 2, Graphite Grey"/>
    <s v="Tablet"/>
    <n v="19843"/>
    <n v="24999"/>
    <n v="0.20599999999999999"/>
    <n v="3.8"/>
    <n v="31"/>
    <n v="2"/>
    <b v="0"/>
    <b v="0"/>
    <b v="0"/>
    <b v="0"/>
    <d v="2026-06-05T00:00:00"/>
    <n v="117.8"/>
    <n v="19843"/>
    <x v="1"/>
    <s v="3.0–3.9"/>
  </r>
  <r>
    <s v="B0CDLBNZQH"/>
    <s v="IWEGGO 15 Android Tablet, 10 18GB RAM + 128GB ROM/2TB Expandable Tablet, 2.0GHz Quad-Core Processor, 1280x800 HD Touchscreen, 5G WiFi6 BT5.0, 2-in-1 Tablets with (Navy Blue)"/>
    <s v="Tablet"/>
    <n v="11457"/>
    <m/>
    <m/>
    <n v="3.8"/>
    <n v="204"/>
    <n v="11"/>
    <b v="0"/>
    <b v="0"/>
    <b v="0"/>
    <b v="0"/>
    <d v="2026-06-05T00:00:00"/>
    <n v="775.19999999999993"/>
    <n v="11457"/>
    <x v="1"/>
    <s v="3.0–3.9"/>
  </r>
  <r>
    <s v="B092DXT698"/>
    <s v="Lenovo Tab M8 FHD (8 inch(20cm), 4 GB, 64 GB, Wi-Fi+LTE, Calling), Grey with Camera Flash"/>
    <s v="Tablet"/>
    <n v="11999"/>
    <n v="21999"/>
    <n v="0.45500000000000002"/>
    <n v="4"/>
    <n v="2028"/>
    <n v="1"/>
    <b v="0"/>
    <b v="0"/>
    <b v="0"/>
    <b v="0"/>
    <d v="2026-06-05T00:00:00"/>
    <n v="8112"/>
    <n v="11999"/>
    <x v="1"/>
    <s v="4.0–4.4"/>
  </r>
  <r>
    <s v="B0CGWTH8YH"/>
    <s v="CUPEISI Android 13 Tablet 10 inch 12GB RAM+128GB ROM/1TB Expandable Tablet, Bluetooth, Wi-Fi, 2024 Newest 2 in 1 Tablets with Keyboard Case, Mouse Capacitive Pen, 2.0 Quad Core CPU"/>
    <s v="Tablet"/>
    <n v="10683.5"/>
    <n v="41646.15"/>
    <n v="0.74299999999999999"/>
    <n v="4.3"/>
    <n v="970"/>
    <n v="10"/>
    <b v="0"/>
    <b v="0"/>
    <b v="0"/>
    <b v="0"/>
    <d v="2026-06-05T00:00:00"/>
    <n v="4171"/>
    <n v="10683.5"/>
    <x v="1"/>
    <s v="4.0–4.4"/>
  </r>
  <r>
    <s v="B0G4QQ4FYB"/>
    <s v="OnePlus Pad Go 2, 30.73 cm (12.1 inch) 2.8K Display, Dolby Visionâ„¢, 120Hz Refresh Rate, Quad Speakers, AI, 10050 mAh Battery, 5G Tablet, 8GB RAM 256 GB Storage, Shadow Black"/>
    <s v="Tablet"/>
    <n v="34999"/>
    <n v="35999"/>
    <n v="2.8000000000000001E-2"/>
    <n v="4.0999999999999996"/>
    <n v="654"/>
    <n v="1"/>
    <b v="0"/>
    <b v="0"/>
    <b v="0"/>
    <b v="0"/>
    <d v="2026-06-05T00:00:00"/>
    <n v="2681.3999999999996"/>
    <n v="34999"/>
    <x v="1"/>
    <s v="4.0–4.4"/>
  </r>
  <r>
    <s v="B0FNWSP5L3"/>
    <s v="Samsung Galaxy Tab S10 Lite with AI [Smartchoice], S Pen in-Box, 27.7 cm (10.9 Inch) Display, Object Eraser, 90Hz Refresh Rate, IP42 Rating, 6GB RAM, 128GB Storage, Wi-Fi + 5G Tablet, Silver"/>
    <s v="Tablet"/>
    <n v="36999"/>
    <n v="41999"/>
    <n v="0.11899999999999999"/>
    <n v="4.5"/>
    <n v="175"/>
    <n v="1"/>
    <b v="0"/>
    <b v="0"/>
    <b v="0"/>
    <b v="0"/>
    <d v="2026-06-05T00:00:00"/>
    <n v="787.5"/>
    <n v="36999"/>
    <x v="1"/>
    <s v="4.5–5.0"/>
  </r>
  <r>
    <s v="B0F4K27HBJ"/>
    <s v="IKALL N11 Pro Tablet - 7inch Display, 2GB RAM &amp;amp; 16GB ROM, 3000mAh Battery, Wi-Fi, Android 8.0, 2MP Rear Camera (Black)"/>
    <s v="Tablet"/>
    <n v="3999"/>
    <n v="5999"/>
    <n v="0.33300000000000002"/>
    <n v="1.9"/>
    <n v="40"/>
    <n v="1"/>
    <b v="0"/>
    <b v="0"/>
    <b v="0"/>
    <b v="0"/>
    <d v="2026-06-05T00:00:00"/>
    <n v="76"/>
    <n v="3999"/>
    <x v="2"/>
    <s v="Below 2.0"/>
  </r>
  <r>
    <s v="B0DP5215CG"/>
    <s v="IKALL N11 Tablet â€“ 7 inch HD Display, Android 8.0, Quad-Core Processor, 2GB RAM, 16GB Storage &amp;amp; 3000mAh Battery - Black"/>
    <s v="Tablet"/>
    <n v="3999"/>
    <n v="5999"/>
    <n v="0.33300000000000002"/>
    <n v="2.7"/>
    <n v="29"/>
    <n v="1"/>
    <b v="0"/>
    <b v="0"/>
    <b v="0"/>
    <b v="0"/>
    <d v="2026-06-05T00:00:00"/>
    <n v="78.300000000000011"/>
    <n v="3999"/>
    <x v="2"/>
    <s v="2.0–2.9"/>
  </r>
  <r>
    <s v="B0GZH4QV3T"/>
    <s v="IKALL N11 Pro 7â€ Android Tablet â€“ 2GB RAM, 16GB Storage (Expandable), WiFi Enabled | 3000mAh Battery | Dual Camera | Compact &amp;amp; Lightweight Tablet for Entertainment &amp;amp; Learning (Black)"/>
    <s v="Tablet"/>
    <n v="3949"/>
    <n v="5999"/>
    <n v="0.34200000000000003"/>
    <n v="1"/>
    <n v="1"/>
    <n v="1"/>
    <b v="0"/>
    <b v="0"/>
    <b v="0"/>
    <b v="0"/>
    <d v="2026-06-05T00:00:00"/>
    <n v="1"/>
    <n v="3949"/>
    <x v="2"/>
    <s v="Below 2.0"/>
  </r>
  <r>
    <s v="B0G1C13SB3"/>
    <s v="Samsung Galaxy Tab A11+ [Smartchoice], 27.82 cm (11 inch) Display, 6 GB RAM, 128 GB Storage, 90Hz Refresh Rate, AI with Google Gemini, Dolby Atmos, Quad Speakers, Wi-Fi Tablet, Gray"/>
    <s v="Tablet"/>
    <n v="25999"/>
    <n v="27999"/>
    <n v="7.0999999999999994E-2"/>
    <n v="4.5"/>
    <n v="199"/>
    <n v="1"/>
    <b v="0"/>
    <b v="0"/>
    <b v="0"/>
    <b v="0"/>
    <d v="2026-06-05T00:00:00"/>
    <n v="895.5"/>
    <n v="25999"/>
    <x v="1"/>
    <s v="4.5–5.0"/>
  </r>
  <r>
    <s v="B0GQV514CT"/>
    <s v="Apple iPad Air 27.59 cm (11â€³) (M4): Liquid Retina Display, 128 GB, 12MP Front/Back Camera, Wi-Fi 7 with Apple N1, Touch ID, All-Day Battery Life â€” Purple"/>
    <s v="Tablet"/>
    <n v="61699"/>
    <n v="64900"/>
    <n v="4.9000000000000002E-2"/>
    <n v="4.7"/>
    <n v="39"/>
    <n v="1"/>
    <b v="0"/>
    <b v="0"/>
    <b v="0"/>
    <b v="0"/>
    <d v="2026-06-05T00:00:00"/>
    <n v="183.3"/>
    <n v="61699"/>
    <x v="1"/>
    <s v="4.5–5.0"/>
  </r>
  <r>
    <s v="B0G2RVGCGC"/>
    <s v="Lenovo Idea Tab Plus with Pen |Wifi +5G |12.1&amp;quot; 2.5K Display, 800nits Peak Brightness |8GB RAM + 256GB ROM (Expandable upto 2TB)| MediaTek Dimensity 6400| 10200mAh|4 Speakers with Dolby Atmos|Luna Grey"/>
    <s v="Tablet"/>
    <n v="31999"/>
    <n v="41000"/>
    <n v="0.22"/>
    <n v="4.3"/>
    <n v="70"/>
    <n v="1"/>
    <b v="0"/>
    <b v="0"/>
    <b v="0"/>
    <b v="0"/>
    <d v="2026-06-05T00:00:00"/>
    <n v="301"/>
    <n v="31999"/>
    <x v="1"/>
    <s v="4.0–4.4"/>
  </r>
  <r>
    <s v="B0CG89T15H"/>
    <s v="ECOPAD Android 13 Tablet 2023 - 10 Inch With 6GB RAM, 64GB ROM, 1TB Expanded, Quad-Core, 2 in 1 With Keyboard Mouse, Wi-Fi 6, Bluetooth, GMS Certified IPS Touch Screen - Black Set"/>
    <s v="Tablet"/>
    <n v="9635"/>
    <m/>
    <m/>
    <n v="4"/>
    <n v="2500"/>
    <n v="1"/>
    <b v="0"/>
    <b v="0"/>
    <b v="0"/>
    <b v="0"/>
    <d v="2026-06-05T00:00:00"/>
    <n v="10000"/>
    <n v="9635"/>
    <x v="0"/>
    <s v="4.0–4.4"/>
  </r>
  <r>
    <s v="B0D6G4CVZ7"/>
    <s v="Lenovo Tab Plus with Octa JBL Hi-Fi Speakers| 8 GB RAM, 128 GB ROM| 11.5 Inch, 2K, 90 Hz Refresh| Wi-Fi Tablet| Android 14| 45 W Fast Charger| Built-in Kickstand| Color: Luna Grey"/>
    <s v="Tablet"/>
    <n v="21999"/>
    <n v="32000"/>
    <n v="0.313"/>
    <n v="4.5"/>
    <n v="2070"/>
    <n v="1"/>
    <b v="0"/>
    <b v="0"/>
    <b v="0"/>
    <b v="0"/>
    <d v="2026-06-05T00:00:00"/>
    <n v="9315"/>
    <n v="21999"/>
    <x v="1"/>
    <s v="4.5–5.0"/>
  </r>
  <r>
    <s v="B0F4QYKYND"/>
    <s v="HOTTABLET Tablet 7 Inch Android 14.0 with Protective Case, 8GB (4+4GB Expand) RAM+32GB ROM, IPS Screen, Dual Camera, Bluetooth 5.0 WiFi Tab (Gray)"/>
    <s v="Tablet"/>
    <n v="6162.97"/>
    <m/>
    <m/>
    <n v="3.7"/>
    <n v="805"/>
    <n v="14"/>
    <b v="0"/>
    <b v="0"/>
    <b v="0"/>
    <b v="0"/>
    <d v="2026-06-05T00:00:00"/>
    <n v="2978.5"/>
    <n v="6162.97"/>
    <x v="0"/>
    <s v="3.0–3.9"/>
  </r>
  <r>
    <s v="B0FJG2TL3C"/>
    <s v="Lenovo Idea Tab Smartchoice with Pen|5G + Wi-Fi|11 Inch,2.5K Display, 500 Nits Brightness|8GB RAM + 256GB ROM(Expandable Up to 2 TB)|Mediatek Dimensity 6300|Android 15|4-Speakers with Dolby Atmos,Grey"/>
    <s v="Tablet"/>
    <n v="26999"/>
    <n v="29000"/>
    <n v="6.9000000000000006E-2"/>
    <n v="4.3"/>
    <n v="639"/>
    <n v="1"/>
    <b v="0"/>
    <b v="0"/>
    <b v="0"/>
    <b v="0"/>
    <d v="2026-06-05T00:00:00"/>
    <n v="2747.7"/>
    <n v="26999"/>
    <x v="1"/>
    <s v="4.0–4.4"/>
  </r>
  <r>
    <s v="B0GDQ26XZB"/>
    <s v="Redmi Pad 2 Pro [Smartchoice] | 12000mAh | Snapdragon 7s Gen 4 | 12.1-inch,2.5K Display |83+ Days Standby |HyperOS 2 |120Hz |Dolby Vision Atmos |Wi-Fi 6 |AI Powered | 8GB, 128GB | Quick Silver"/>
    <s v="Tablet"/>
    <n v="26999"/>
    <n v="29999"/>
    <n v="0.1"/>
    <n v="4.2"/>
    <n v="130"/>
    <n v="1"/>
    <b v="0"/>
    <b v="0"/>
    <b v="0"/>
    <b v="0"/>
    <d v="2026-06-05T00:00:00"/>
    <n v="546"/>
    <n v="26999"/>
    <x v="1"/>
    <s v="4.0–4.4"/>
  </r>
  <r>
    <s v="B0CTH1JX6P"/>
    <s v="IWEGGO Android 15 Tablet, 10 inch 12GB RAM+64GB ROM+1TB Expandable, 1.8Ghz Quad-core Processor, 2 in 1 Tablets with Keyboard Case Mouse Stylus, 5G Wifi, 8MP Dual Camera, 1280*800 HD Screen Tablet Blue"/>
    <s v="Tablet"/>
    <n v="9860.76"/>
    <n v="24823"/>
    <n v="0.60299999999999998"/>
    <n v="3.9"/>
    <n v="1288"/>
    <n v="7"/>
    <b v="0"/>
    <b v="0"/>
    <b v="0"/>
    <b v="0"/>
    <d v="2026-06-05T00:00:00"/>
    <n v="5023.2"/>
    <n v="9860.76"/>
    <x v="0"/>
    <s v="3.0–3.9"/>
  </r>
  <r>
    <s v="B0GGZNTXC4"/>
    <s v="Motorola Pad 60 Neo (Blue, 8 GB RAM, 128 GB ROM)"/>
    <s v="Tablet"/>
    <n v="20000"/>
    <n v="25999"/>
    <n v="0.23100000000000001"/>
    <n v="3.6"/>
    <n v="25"/>
    <n v="10"/>
    <b v="0"/>
    <b v="0"/>
    <b v="0"/>
    <b v="0"/>
    <d v="2026-06-05T00:00:00"/>
    <n v="90"/>
    <n v="20000"/>
    <x v="1"/>
    <s v="3.0–3.9"/>
  </r>
  <r>
    <s v="B0GWM9X76Q"/>
    <s v="DOMO Slate SL39 10.1-Inch 4G Tablet PC, inbuilt Storage, 4GB RAM + 32GB,1TB Expandable, Dual SIM Slot, Octa Core CPU, GPS, Bluetooth (Green)"/>
    <s v="Tablet"/>
    <n v="7550"/>
    <n v="24990"/>
    <n v="0.69799999999999995"/>
    <n v="5"/>
    <n v="1"/>
    <n v="1"/>
    <b v="0"/>
    <b v="0"/>
    <b v="0"/>
    <b v="0"/>
    <d v="2026-06-05T00:00:00"/>
    <n v="5"/>
    <n v="7550"/>
    <x v="0"/>
    <s v="4.5–5.0"/>
  </r>
  <r>
    <s v="B0GWHYQW77"/>
    <s v="Lenovo Idea Tab Pro Gen 2 with Pen Plus | 13&amp;quot; Display, 3.5K Resolution, 144Hz Refresh | 8GB, 256GB | Snapdragon 8s Gen 4 | 10200mAh | 4 JBL Speakers| USB 3.0 with DP-Out | Wi-Fi 7 | Luna Grey"/>
    <s v="Tablet"/>
    <n v="39999"/>
    <n v="70000"/>
    <n v="0.42899999999999999"/>
    <n v="4.4000000000000004"/>
    <n v="58"/>
    <n v="1"/>
    <b v="0"/>
    <b v="0"/>
    <b v="0"/>
    <b v="0"/>
    <d v="2026-06-05T00:00:00"/>
    <n v="255.20000000000002"/>
    <n v="39999"/>
    <x v="1"/>
    <s v="4.0–4.4"/>
  </r>
  <r>
    <s v="B0GP6YWSY2"/>
    <s v="Lenovo {Smartchoice} Idea Tab Pro with Pen Plus &amp;amp; Keyboard|12.7&amp;quot; 3K Display|144 Hz Refresh|12 GB RAM, 256 GB ROM| AI-Enabled| MediaTek Dimensity 8300|4 JBL Speakers|10200 mAh Battery with 45 W Charger"/>
    <s v="Tablet"/>
    <n v="39999"/>
    <n v="58000"/>
    <n v="0.31"/>
    <n v="4.3"/>
    <n v="7"/>
    <n v="1"/>
    <b v="0"/>
    <b v="0"/>
    <b v="0"/>
    <b v="0"/>
    <d v="2026-06-05T00:00:00"/>
    <n v="30.099999999999998"/>
    <n v="39999"/>
    <x v="1"/>
    <s v="4.0–4.4"/>
  </r>
  <r>
    <s v="B0DW49RMHR"/>
    <s v="XIAOMI Pad 7 Nano Texture Display [Smartchoice] | Snapdragon 7+ Gen 3| 3.2K Display (28.44 cm /11.2&amp;quot;) Tablet| 12GB, 256GB| Anti-Reflective| Anti-Glare| HyperOS 2| Dolby Vision Atmos |Sage Green"/>
    <s v="Tablet"/>
    <n v="32999"/>
    <n v="39999"/>
    <n v="0.17499999999999999"/>
    <n v="4.5"/>
    <n v="2102"/>
    <n v="1"/>
    <b v="0"/>
    <b v="0"/>
    <b v="0"/>
    <b v="0"/>
    <d v="2026-06-05T00:00:00"/>
    <n v="9459"/>
    <n v="32999"/>
    <x v="1"/>
    <s v="4.5–5.0"/>
  </r>
  <r>
    <s v="B0919NL1HZ"/>
    <s v="Lenovo M8 HD 2nd Gen with Wi-Fi (8 Inch, 3GB, 32 GB) [Year-2020], Grey"/>
    <s v="Tablet"/>
    <n v="10999"/>
    <n v="17999"/>
    <n v="0.38900000000000001"/>
    <n v="4.0999999999999996"/>
    <n v="1130"/>
    <n v="1"/>
    <b v="0"/>
    <b v="0"/>
    <b v="0"/>
    <b v="0"/>
    <d v="2026-06-05T00:00:00"/>
    <n v="4633"/>
    <n v="10999"/>
    <x v="1"/>
    <s v="4.0–4.4"/>
  </r>
  <r>
    <s v="B0CKLCYJFB"/>
    <s v="Baatu Enable Tablet - Parental Control Tab for Kids (10.1 inch) | Screen Time Monitor, App Blocker, Content Monitor &amp;amp; Location Tracking | 6000 mAH Battery | 4G &amp;amp; WiFi Calling | 4GB RAM, 64 GB ROM"/>
    <s v="Tablet"/>
    <n v="8349"/>
    <n v="15999"/>
    <n v="0.47799999999999998"/>
    <n v="3.6"/>
    <n v="146"/>
    <n v="1"/>
    <b v="0"/>
    <b v="0"/>
    <b v="0"/>
    <b v="0"/>
    <d v="2026-06-05T00:00:00"/>
    <n v="525.6"/>
    <n v="8349"/>
    <x v="0"/>
    <s v="3.0–3.9"/>
  </r>
  <r>
    <s v="B0D7N23QKD"/>
    <s v="OnePlus Pad 2 (12.1 Inch),12GB RAM, 256GB Storage Snapdragon 8 Gen 3,144Hz Refresh Rate, 6 Speakers, 3K 12.1 Display, AI Features, 9610 mAh Battery, Wi-Fi with Cellular Data Sharing [Nimbus Gray]"/>
    <s v="Tablet"/>
    <n v="35999"/>
    <n v="47999"/>
    <n v="0.25"/>
    <n v="4.5"/>
    <n v="939"/>
    <n v="1"/>
    <b v="0"/>
    <b v="0"/>
    <b v="0"/>
    <b v="0"/>
    <d v="2026-06-05T00:00:00"/>
    <n v="4225.5"/>
    <n v="35999"/>
    <x v="1"/>
    <s v="4.5–5.0"/>
  </r>
  <r>
    <s v="B0FCR8HZVF"/>
    <s v="Lenovo Yoga Tab Plus Smartchoice AI Tablet with Pen+Keyboard |12.7&amp;quot; Display, 3K Resolution, 144 Hz|16GB RAM, 256GB ROM| Snapdragon 8 Gen 3|10200 mAh|6 Speakers| USB 3.0 with DP-Out|1Year ADP Free|Teal"/>
    <s v="Tablet"/>
    <n v="54999"/>
    <n v="79000"/>
    <n v="0.30399999999999999"/>
    <n v="4.4000000000000004"/>
    <n v="291"/>
    <n v="1"/>
    <b v="0"/>
    <b v="0"/>
    <b v="0"/>
    <b v="0"/>
    <d v="2026-06-05T00:00:00"/>
    <n v="1280.4000000000001"/>
    <n v="54999"/>
    <x v="1"/>
    <s v="4.0–4.4"/>
  </r>
  <r>
    <s v="B0BY2ZZ4SJ"/>
    <s v="OnePlus Pad 29.49Cm LCD Display, 12Gb Ram,256Gb Storage, Mediatek Dimensity 9000, Android 13.1, 144Hz Refresh Rate, Dolby Vision Atmos, Wi-Fi with Cellular Data Sharing Tablet, Green"/>
    <s v="Tablet"/>
    <n v="28999"/>
    <n v="39999"/>
    <n v="0.27500000000000002"/>
    <n v="4.5"/>
    <n v="743"/>
    <n v="1"/>
    <b v="0"/>
    <b v="0"/>
    <b v="0"/>
    <b v="0"/>
    <d v="2026-06-05T00:00:00"/>
    <n v="3343.5"/>
    <n v="28999"/>
    <x v="1"/>
    <s v="4.5–5.0"/>
  </r>
  <r>
    <s v="B0DZ79Q1DB"/>
    <s v="Apple iPad 11â€³: A16 chip, 27.69 cm (11â€³) Model, Liquid Retina Display, 128GB, Wi-Fi 6, 12MP Front/12MP Back Camera, Touch ID, All-Day Battery Life â€” Silver"/>
    <s v="Tablet"/>
    <n v="34400"/>
    <n v="34900"/>
    <n v="1.4E-2"/>
    <n v="4.5999999999999996"/>
    <n v="1602"/>
    <n v="1"/>
    <b v="0"/>
    <b v="0"/>
    <b v="0"/>
    <b v="0"/>
    <d v="2026-06-05T00:00:00"/>
    <n v="7369.2"/>
    <n v="34400"/>
    <x v="1"/>
    <s v="4.5–5.0"/>
  </r>
  <r>
    <s v="B0GX6Q2NBS"/>
    <s v="OnePlus Pad 4, SnapdragonÂ® 8 Elite Gen 5 Platform, 33.53cm 13.2&amp;quot; 3.4K Screen, 144Hz Adaptive, 8 Speakers, AI Powered, PC-Level Productivity, 13,380 mAh Battery, 12GB + 512GB, WiFi,Dune Glow"/>
    <s v="Tablet"/>
    <n v="64999"/>
    <n v="67999"/>
    <n v="4.3999999999999997E-2"/>
    <n v="4.2"/>
    <n v="41"/>
    <n v="1"/>
    <b v="0"/>
    <b v="0"/>
    <b v="0"/>
    <b v="0"/>
    <d v="2026-06-05T00:00:00"/>
    <n v="172.20000000000002"/>
    <n v="64999"/>
    <x v="1"/>
    <s v="4.0–4.4"/>
  </r>
  <r>
    <s v="B0GWMPF9PM"/>
    <s v="DOMO Slate SL39 10.1-Inch 4G Tablet PC, inbuilt Storage, 4GB RAM + 32GB,1TB Expandable, Dual SIM Slot, Bluetooth, Octa Core CPU, GPS, (Green)"/>
    <s v="Tablet"/>
    <n v="7550"/>
    <n v="24990"/>
    <n v="0.69799999999999995"/>
    <n v="3"/>
    <n v="9"/>
    <n v="1"/>
    <b v="0"/>
    <b v="0"/>
    <b v="0"/>
    <b v="0"/>
    <d v="2026-06-05T00:00:00"/>
    <n v="27"/>
    <n v="7550"/>
    <x v="0"/>
    <s v="3.0–3.9"/>
  </r>
  <r>
    <s v="B0GX6W5XYT"/>
    <s v="OnePlus Pad 4, SnapdragonÂ® 8 Elite Gen 5 Platform, 33.53cm 13.2&amp;quot; 3.4K Screen, 144Hz Adaptive, 8 Speakers, AI Powered, PC-Level Productivity, 13,380 mAh Battery, 8GB + 256GB, WiFi,Sage Mist"/>
    <s v="Tablet"/>
    <n v="59999"/>
    <n v="62999"/>
    <n v="4.8000000000000001E-2"/>
    <n v="4.2"/>
    <n v="41"/>
    <n v="1"/>
    <b v="0"/>
    <b v="0"/>
    <b v="0"/>
    <b v="0"/>
    <d v="2026-06-05T00:00:00"/>
    <n v="172.20000000000002"/>
    <n v="59999"/>
    <x v="1"/>
    <s v="4.0–4.4"/>
  </r>
  <r>
    <s v="B0GQTJDRSL"/>
    <s v="Acer Iconia 5G Tablet|11.45&amp;quot; 2.2kâ€90Hz IPS Display, MediaTek 8791 Processor, 8GB RAM + 128GB Storage, 16MP Rear+8MP Front Camera,Wi-Fi + 5G Volte, Android 15,BT 5.2, Slim Metal Body,Silver"/>
    <s v="Tablet"/>
    <n v="25499"/>
    <n v="44999"/>
    <n v="0.433"/>
    <n v="3.6"/>
    <n v="65"/>
    <n v="1"/>
    <b v="0"/>
    <b v="0"/>
    <b v="0"/>
    <b v="0"/>
    <d v="2026-06-05T00:00:00"/>
    <n v="234"/>
    <n v="25499"/>
    <x v="1"/>
    <s v="3.0–3.9"/>
  </r>
  <r>
    <s v="B0DZCB3G9Q"/>
    <s v="Lenovo {Smartchoice} Idea Tab Pro with Pen Plus|12.7&amp;quot; 3K Display|144 Hz Refresh|12 GB RAM, 256 GB ROM| AI-Enabled| MediaTek Dimensity 8300|Quad JBL Speakers|10200 mAh Battery with 45 W Charger|WiFi 6e"/>
    <s v="Tablet"/>
    <n v="33999"/>
    <n v="48999"/>
    <n v="0.30599999999999999"/>
    <n v="4.4000000000000004"/>
    <n v="787"/>
    <n v="1"/>
    <b v="0"/>
    <b v="0"/>
    <b v="0"/>
    <b v="0"/>
    <d v="2026-06-05T00:00:00"/>
    <n v="3462.8"/>
    <n v="33999"/>
    <x v="1"/>
    <s v="4.0–4.4"/>
  </r>
  <r>
    <s v="B0FVXV5Z8W"/>
    <s v="Motorola Pad 60 Neo (Pantone Bronze Green, 8GB RAM, 128GB Storage)"/>
    <s v="Tablet"/>
    <n v="25790"/>
    <n v="28000"/>
    <n v="7.9000000000000001E-2"/>
    <n v="3.8"/>
    <n v="58"/>
    <n v="1"/>
    <b v="0"/>
    <b v="0"/>
    <b v="0"/>
    <b v="0"/>
    <d v="2026-06-05T00:00:00"/>
    <n v="220.39999999999998"/>
    <n v="25790"/>
    <x v="1"/>
    <s v="3.0–3.9"/>
  </r>
  <r>
    <s v="B0GGB63MFD"/>
    <s v="IKALL N16 Pro Smart Tablet â€“ 8 Inch HD Display, Octa Core Processor, 4GB RAM + 32GB ROM, Android 12, 4G Voice Calling, Long-Lasting 5000mAh Battery (Blue)"/>
    <s v="Tablet"/>
    <n v="7199"/>
    <n v="8999"/>
    <n v="0.2"/>
    <n v="2.6"/>
    <n v="3"/>
    <n v="1"/>
    <b v="0"/>
    <b v="0"/>
    <b v="0"/>
    <b v="0"/>
    <d v="2026-06-05T00:00:00"/>
    <n v="7.8000000000000007"/>
    <n v="7199"/>
    <x v="0"/>
    <s v="2.0–2.9"/>
  </r>
  <r>
    <s v="B0GMJMGKRC"/>
    <s v="DOMO Slate SL39 4G Tablet 10.1 inch, 4GB RAM + 32GB ROM, 4G Connectivity, inbuilt Storage, 1TB Expandable, Dual SIM Slot, Bluetooth Octa Core CPU GPS, (Grey)"/>
    <s v="Tablet"/>
    <n v="7550"/>
    <n v="24990"/>
    <n v="0.69799999999999995"/>
    <n v="3.3"/>
    <n v="11"/>
    <n v="1"/>
    <b v="0"/>
    <b v="0"/>
    <b v="0"/>
    <b v="0"/>
    <d v="2026-06-05T00:00:00"/>
    <n v="36.299999999999997"/>
    <n v="7550"/>
    <x v="0"/>
    <s v="3.0–3.9"/>
  </r>
  <r>
    <s v="B0CJ389HC1"/>
    <s v="Samsung Galaxy Tab A9 22.10 cm (8.7 inch) Display, RAM 4 GB, ROM 64 GB Expandable, Wi-Fi+4G, Tablet, Dark Blue"/>
    <s v="Tablet"/>
    <n v="18749"/>
    <n v="25999"/>
    <n v="0.27900000000000003"/>
    <n v="4"/>
    <n v="238"/>
    <n v="1"/>
    <b v="0"/>
    <b v="0"/>
    <b v="0"/>
    <b v="0"/>
    <d v="2026-06-05T00:00:00"/>
    <n v="952"/>
    <n v="18749"/>
    <x v="1"/>
    <s v="4.0–4.4"/>
  </r>
  <r>
    <s v="B0GPVLKNN4"/>
    <s v="XIAOMI Pad 8 [Smartchoice] Flagship Snapdragon 8s Gen 4 |11.2&amp;quot; 3.2K Display | 8GB, 128GB | Ultra Slim Metal Design | 9200mAh Battery | 68 Bn+ Colours HyperAI | Wi-Fi 7 | Titanium Blue"/>
    <s v="Tablet"/>
    <n v="35999"/>
    <n v="37999"/>
    <n v="5.2999999999999999E-2"/>
    <n v="4.4000000000000004"/>
    <n v="39"/>
    <n v="1"/>
    <b v="0"/>
    <b v="0"/>
    <b v="0"/>
    <b v="0"/>
    <d v="2026-06-05T00:00:00"/>
    <n v="171.60000000000002"/>
    <n v="35999"/>
    <x v="1"/>
    <s v="4.0–4.4"/>
  </r>
  <r>
    <s v="B0DX234NWP"/>
    <s v="XP-Pen Magic Note Pad 10.95&amp;quot; Digital Note-Taking Tablet, Paper-Like LCD Display, 3-Color Modes, 16K Pressure Stylus (X3 Pro Pencil 2), 6+128GB, Android 14 â€“ for Writing, Reading, PDF Notes &amp;amp; Study"/>
    <s v="Tablet"/>
    <n v="39995"/>
    <n v="79999"/>
    <n v="0.5"/>
    <n v="4.3"/>
    <n v="288"/>
    <n v="1"/>
    <b v="0"/>
    <b v="0"/>
    <b v="0"/>
    <b v="0"/>
    <d v="2026-06-05T00:00:00"/>
    <n v="1238.3999999999999"/>
    <n v="39995"/>
    <x v="1"/>
    <s v="4.0–4.4"/>
  </r>
  <r>
    <s v="B0F29L7HJP"/>
    <s v="Samsung Galaxy Tab S10 FE [Smartchoice], S Pen in-Box, 27.7 cm (10.9 inch) Display, AI Writing, Desktop Mode, Pre Loaded Pro Apps, 8 GB RAM, 128 GB Storage, Wi-Fi Tablet, Silver"/>
    <s v="Tablet"/>
    <n v="49999"/>
    <m/>
    <m/>
    <n v="4.5"/>
    <n v="242"/>
    <n v="1"/>
    <b v="0"/>
    <b v="0"/>
    <b v="0"/>
    <b v="0"/>
    <d v="2026-06-05T00:00:00"/>
    <n v="1089"/>
    <n v="49999"/>
    <x v="1"/>
    <s v="4.5–5.0"/>
  </r>
  <r>
    <s v="B0FN7431GX"/>
    <s v="OnePlus Pad 3 World&amp;#x27;s Fastest Snapdragon 8 Elite Processor, 13.2&amp;quot; 3.4k Screen, 144Hz Adaptive Refresh Rate, 8 Speakers, AI, 12140 mAh Battery, 12 GB RAM + 256 GB ROM WiFi, Storm Blue"/>
    <s v="Tablet"/>
    <n v="49999"/>
    <m/>
    <m/>
    <n v="4.5"/>
    <n v="511"/>
    <n v="1"/>
    <b v="0"/>
    <b v="0"/>
    <b v="0"/>
    <b v="0"/>
    <d v="2026-06-05T00:00:00"/>
    <n v="2299.5"/>
    <n v="49999"/>
    <x v="1"/>
    <s v="4.5–5.0"/>
  </r>
  <r>
    <s v="B0DHH9PWHJ"/>
    <s v="Samsung Galaxy Tab S10 Plus [Smartchoice], S Pen in-Box, 31.5 cm (12.4 inch) Dynamic AMOLED 2X Display, 12 GB RAM, 256 GB Storage, Wi-Fi + 5G Tablet, Moonstone Gray"/>
    <s v="Tablet"/>
    <n v="79999"/>
    <n v="117599"/>
    <n v="0.32"/>
    <n v="3.9"/>
    <n v="22"/>
    <n v="1"/>
    <b v="0"/>
    <b v="0"/>
    <b v="0"/>
    <b v="0"/>
    <d v="2026-06-05T00:00:00"/>
    <n v="85.8"/>
    <n v="79999"/>
    <x v="1"/>
    <s v="3.0–3.9"/>
  </r>
  <r>
    <s v="B0G823JLBV"/>
    <s v="IKALL N12 7-Inch Android Tablet | 3GB RAM, 16GB ROM | 2MP Rear Camera | 3000mAh Battery | WiFi Tablet â€“ Black"/>
    <s v="Tablet"/>
    <n v="4099"/>
    <n v="5999"/>
    <n v="0.317"/>
    <n v="2.4"/>
    <n v="29"/>
    <n v="1"/>
    <b v="0"/>
    <b v="0"/>
    <b v="0"/>
    <b v="0"/>
    <d v="2026-06-05T00:00:00"/>
    <n v="69.599999999999994"/>
    <n v="4099"/>
    <x v="2"/>
    <s v="2.0–2.9"/>
  </r>
  <r>
    <s v="B0GDTRYXYF"/>
    <s v="HAMMER Airflow Neo Earbuds with 80H Playtime, 13mm Titanium Driver, 40ms Gaming Mode, Fast Charging Buds, Type-C Charging, Voice Assistant, Lightweight Dual-Tone Design (Grey)"/>
    <s v="Earbuds"/>
    <n v="599"/>
    <n v="2499"/>
    <n v="0.76"/>
    <n v="4"/>
    <n v="509"/>
    <n v="1"/>
    <b v="0"/>
    <b v="0"/>
    <b v="1"/>
    <b v="0"/>
    <d v="2026-06-05T00:00:00"/>
    <n v="2036"/>
    <n v="599"/>
    <x v="5"/>
    <s v="4.0–4.4"/>
  </r>
  <r>
    <s v="B0FC2YFSN4"/>
    <s v="Boat Airdopes 219, 4Mics ENx, 40H Battery, Best in Segment for Calling, Stream Ad Free Music via App Support, Bluetooth Earbuds, TWS Ear Buds Wireless Earphones with mic (Forest Sage)"/>
    <s v="Earbuds"/>
    <n v="899"/>
    <n v="3990"/>
    <n v="0.77500000000000002"/>
    <n v="3.9"/>
    <n v="5247"/>
    <n v="1"/>
    <b v="0"/>
    <b v="0"/>
    <b v="0"/>
    <b v="0"/>
    <d v="2026-06-05T00:00:00"/>
    <n v="20463.3"/>
    <n v="899"/>
    <x v="5"/>
    <s v="3.0–3.9"/>
  </r>
  <r>
    <s v="B0GTVK1YFJ"/>
    <s v="DuoPods Infinity True Wireless Earbuds, 70H Playtime, 3D Soundstage, AI-ENC HD Calls, 13mm Drivers, AAC Audio, Bluetooth 5.3, IPX4, Made in India"/>
    <s v="Earbuds"/>
    <n v="899"/>
    <n v="4499"/>
    <n v="0.8"/>
    <m/>
    <n v="0"/>
    <n v="1"/>
    <b v="0"/>
    <b v="0"/>
    <b v="0"/>
    <b v="0"/>
    <d v="2026-06-05T00:00:00"/>
    <s v=""/>
    <n v="899"/>
    <x v="5"/>
    <s v="Not Rated"/>
  </r>
  <r>
    <s v="B0FMDL81GS"/>
    <s v="OnePlus Nord Buds 3r TWS Earbuds up to 54 Hours Playback, 2-mic Clear Calls, 3D Spatial Audio, AI Translation, 12.4mm Drivers, Dual-Device Connectivity, 47ms Low Latency - Ash Black"/>
    <s v="Earbuds"/>
    <n v="1799"/>
    <n v="1999"/>
    <n v="0.1"/>
    <n v="4.3"/>
    <n v="45386"/>
    <n v="1"/>
    <b v="0"/>
    <b v="0"/>
    <b v="0"/>
    <b v="0"/>
    <d v="2026-06-05T00:00:00"/>
    <n v="195159.8"/>
    <n v="1799"/>
    <x v="2"/>
    <s v="4.0–4.4"/>
  </r>
  <r>
    <s v="B0GY8PF9S6"/>
    <s v="CMEE BURDS Earbuds Wireless Bluetooth 5.3 TWS Earphones with Full Touch Control, Built-in Microphone, Premium Sound Quality, Fast Stable Connection, Type C Charger"/>
    <s v="Earbuds"/>
    <n v="349"/>
    <n v="1999"/>
    <n v="0.82499999999999996"/>
    <m/>
    <n v="0"/>
    <n v="1"/>
    <b v="0"/>
    <b v="0"/>
    <b v="0"/>
    <b v="0"/>
    <d v="2026-06-05T00:00:00"/>
    <s v=""/>
    <n v="349"/>
    <x v="4"/>
    <s v="Not Rated"/>
  </r>
  <r>
    <s v="B0G2H4R5YB"/>
    <s v="Kratos TW02 Ear Buds Wireless with 30H Playtime, Noise Isolation &amp;amp; Clear Calls, Bluetooth Earbuds with Voice Assistant, Ear Buds with Bluetooth V 5.3 &amp;amp; with Type C Fast Charging, IPX5 TWS Earphones"/>
    <s v="Earbuds"/>
    <n v="498.88"/>
    <n v="1999"/>
    <n v="0.75"/>
    <n v="4.2"/>
    <n v="680"/>
    <n v="1"/>
    <b v="0"/>
    <b v="0"/>
    <b v="0"/>
    <b v="0"/>
    <d v="2026-06-05T00:00:00"/>
    <n v="2856"/>
    <n v="498.88"/>
    <x v="4"/>
    <s v="4.0–4.4"/>
  </r>
  <r>
    <s v="B0FZD7ZJGD"/>
    <s v="HAMMER Ultra Pods True Wireless Earbuds with in-Built Mic, 100H Standby Time, 1H Charging USB Type-C, 13mm Dynamic Drivers, 50H Playtime, BT v6.0 Connectivity, IPX5 Water Resistant (Beige)"/>
    <s v="Earbuds"/>
    <n v="599"/>
    <n v="3499"/>
    <n v="0.82899999999999996"/>
    <n v="3.7"/>
    <n v="1062"/>
    <n v="1"/>
    <b v="0"/>
    <b v="0"/>
    <b v="0"/>
    <b v="0"/>
    <d v="2026-06-05T00:00:00"/>
    <n v="3929.4"/>
    <n v="599"/>
    <x v="5"/>
    <s v="3.0–3.9"/>
  </r>
  <r>
    <s v="B0FHKHT717"/>
    <s v="Philips TAT1269 Bluetooth Truly Wireless in Ear Earbuds with mic, 13mm Drivers, Bluetooth 5.4, 40H Playtime, IPX5, Fast Charging, Touch Controls, Voice Assistant, Mono Mode, LED Indicator (Deep Black)"/>
    <s v="Earbuds"/>
    <n v="999"/>
    <n v="1999"/>
    <n v="0.5"/>
    <n v="3.9"/>
    <n v="691"/>
    <n v="1"/>
    <b v="0"/>
    <b v="0"/>
    <b v="0"/>
    <b v="0"/>
    <d v="2026-06-05T00:00:00"/>
    <n v="2694.9"/>
    <n v="999"/>
    <x v="5"/>
    <s v="3.0–3.9"/>
  </r>
  <r>
    <s v="B0C3ZYFZ77"/>
    <s v="Boat Airdopes Joy, 35Hrs Battery, Fast Charge, IWP Tech, Low Latency, 2Mic ENx, Type-C Port, v5.3 Bluetooth Earbuds, TWS Ear Buds Wireless Earphones with mic(Jet Black)"/>
    <s v="Earbuds"/>
    <n v="799"/>
    <n v="3490"/>
    <n v="0.77100000000000002"/>
    <n v="3.8"/>
    <n v="9699"/>
    <n v="1"/>
    <b v="0"/>
    <b v="0"/>
    <b v="0"/>
    <b v="0"/>
    <d v="2026-06-05T00:00:00"/>
    <n v="36856.199999999997"/>
    <n v="799"/>
    <x v="5"/>
    <s v="3.0–3.9"/>
  </r>
  <r>
    <s v="B0F8BVSK21"/>
    <s v="Boat Airdopes 141 Gen 2, 4 Mics ENx Tech, 48 Hrs Playback, Free Music Streaming, Fast Charge, Low Latency, IPX4, v5.4 Bluetooth Earbuds, TWS Ear Buds Wireless Earphones with mic (Active Black)"/>
    <s v="Earbuds"/>
    <n v="799"/>
    <n v="3990"/>
    <n v="0.8"/>
    <n v="3.9"/>
    <n v="89370"/>
    <n v="1"/>
    <b v="0"/>
    <b v="0"/>
    <b v="0"/>
    <b v="0"/>
    <d v="2026-06-05T00:00:00"/>
    <n v="348543"/>
    <n v="799"/>
    <x v="5"/>
    <s v="3.0–3.9"/>
  </r>
  <r>
    <s v="B0FBR6HGXM"/>
    <s v="realme Buds T200x True Wireless Earbuds with 12.4mm Dynamic Bass Drivers, 25 dB ANC, Quad Mic, 45ms Latency, Upto 48 Hrs Playback, Fast Charge, IP55 Rated, BT 5.4 (Pure Black)"/>
    <s v="Earbuds"/>
    <n v="1329"/>
    <n v="2499"/>
    <n v="0.46800000000000003"/>
    <n v="4.0999999999999996"/>
    <n v="33124"/>
    <n v="1"/>
    <b v="0"/>
    <b v="0"/>
    <b v="0"/>
    <b v="0"/>
    <d v="2026-06-05T00:00:00"/>
    <n v="135808.4"/>
    <n v="1329"/>
    <x v="2"/>
    <s v="4.0–4.4"/>
  </r>
  <r>
    <s v="B0G6M5B9KC"/>
    <s v="Earbuds for One-Plus Nord CE 2 Lite Earbuds Original Like True Wireless Bluetooth in-Ear Headphones Earphones TWS with Mic, Touch Controls, Deep Bass, Sports (38 Hours Case, OPBR1)"/>
    <s v="Earbuds"/>
    <n v="699"/>
    <n v="1999"/>
    <n v="0.65"/>
    <n v="2"/>
    <n v="2"/>
    <n v="1"/>
    <b v="0"/>
    <b v="0"/>
    <b v="0"/>
    <b v="0"/>
    <d v="2026-06-05T00:00:00"/>
    <n v="4"/>
    <n v="699"/>
    <x v="5"/>
    <s v="2.0–2.9"/>
  </r>
  <r>
    <s v="B0FCMRVJKH"/>
    <s v="OnePlus Buds 4 TWS Earbuds with Upto 55dB Real-time ANC, Adaptive Mode, Dual Drivers with DACs, 3D Audio, Upto 45hrs Music Playback, ,Dual-Device connectivity, 47ms Low Latency, Zen Green"/>
    <s v="Earbuds"/>
    <n v="6099"/>
    <n v="6499"/>
    <n v="6.2E-2"/>
    <n v="4.3"/>
    <n v="2468"/>
    <n v="1"/>
    <b v="0"/>
    <b v="0"/>
    <b v="0"/>
    <b v="0"/>
    <d v="2026-06-05T00:00:00"/>
    <n v="10612.4"/>
    <n v="6099"/>
    <x v="0"/>
    <s v="4.0–4.4"/>
  </r>
  <r>
    <s v="B0DXPNVSSB"/>
    <s v="boAt Airdopes 101v2, 35H Battery, ENx Tech, 13mm Drivers, ASAP Charge, Flex-Fit Ear Tips,Stream Ad Free Music via App Support, Bluetooth Earbuds, TWS Ear Buds Wireless Earphones with mic (Pitch Black)"/>
    <s v="Earbuds"/>
    <n v="795"/>
    <n v="3990"/>
    <n v="0.80100000000000005"/>
    <n v="3.8"/>
    <n v="926"/>
    <n v="5"/>
    <b v="0"/>
    <b v="0"/>
    <b v="0"/>
    <b v="0"/>
    <d v="2026-06-05T00:00:00"/>
    <n v="3518.7999999999997"/>
    <n v="795"/>
    <x v="5"/>
    <s v="3.0–3.9"/>
  </r>
  <r>
    <s v="B0DFPKVGVC"/>
    <s v="OnePlus Nord Buds 3 Truly Wireless Bluetooth Earbuds with up to 32dB Active Noise Cancellation, 10mins for 11Hours Fast Charging with Up to 43h Music Playback -Melodic White"/>
    <s v="Earbuds"/>
    <n v="2599"/>
    <n v="2799"/>
    <n v="7.0999999999999994E-2"/>
    <n v="4.3"/>
    <n v="21134"/>
    <n v="1"/>
    <b v="0"/>
    <b v="0"/>
    <b v="0"/>
    <b v="0"/>
    <d v="2026-06-05T00:00:00"/>
    <n v="90876.2"/>
    <n v="2599"/>
    <x v="2"/>
    <s v="4.0–4.4"/>
  </r>
  <r>
    <s v="B0DZXTVL6V"/>
    <s v="Boat Airdopes Plus 311, Glass Design, ENx Tech, Fast Charge, 50 Hrs Battery, Stream Ad Free Music via App Support Bluetooth Earbuds, TWS Ear Buds Wireless Earphones with mic (Charcoal Black)"/>
    <s v="Earbuds"/>
    <n v="799"/>
    <n v="3990"/>
    <n v="0.8"/>
    <n v="3.7"/>
    <n v="5979"/>
    <n v="1"/>
    <b v="0"/>
    <b v="0"/>
    <b v="0"/>
    <b v="0"/>
    <d v="2026-06-05T00:00:00"/>
    <n v="22122.3"/>
    <n v="799"/>
    <x v="5"/>
    <s v="3.0–3.9"/>
  </r>
  <r>
    <s v="B0DBGNDTY2"/>
    <s v="realme Buds T310 Truly Wireless in Ear Earbuds with 46dB Hybrid ANC, 360Â° Spatial Audio, 12.4mm Dynamic Bass Driver, Upto 40Hrs Battery and Fast Charging (Agile White)"/>
    <s v="Earbuds"/>
    <n v="2199"/>
    <n v="3999"/>
    <n v="0.45"/>
    <n v="4.2"/>
    <n v="8652"/>
    <n v="1"/>
    <b v="0"/>
    <b v="0"/>
    <b v="0"/>
    <b v="0"/>
    <d v="2026-06-05T00:00:00"/>
    <n v="36338.400000000001"/>
    <n v="2199"/>
    <x v="2"/>
    <s v="4.0–4.4"/>
  </r>
  <r>
    <s v="B0FDGVNSLH"/>
    <s v="Samsung Galaxy Buds Core (Black) Galaxy AI Enabled in-Ear TWS with ANC | Enriched Bass | 6 Mic Setup | IP54 | 35hrs Battery | Touch Controls"/>
    <s v="Earbuds"/>
    <n v="4399"/>
    <n v="9999"/>
    <n v="0.56000000000000005"/>
    <n v="4"/>
    <n v="2445"/>
    <n v="1"/>
    <b v="0"/>
    <b v="0"/>
    <b v="0"/>
    <b v="0"/>
    <d v="2026-06-05T00:00:00"/>
    <n v="9780"/>
    <n v="4399"/>
    <x v="2"/>
    <s v="4.0–4.4"/>
  </r>
  <r>
    <s v="B0BQN3NW8C"/>
    <s v="GOBOULT Z40 True Wireless in Ear Earbuds with 60H Playtime, Zenâ„¢ ENC Mic, Low Latency Gaming, Type-C Fast Charging, Made in India, 10mm Rich Bass Drivers, IPX5, Ear Buds TWS (White)"/>
    <s v="Earbuds"/>
    <n v="999"/>
    <n v="4999"/>
    <n v="0.8"/>
    <n v="3.9"/>
    <n v="36324"/>
    <n v="1"/>
    <b v="0"/>
    <b v="0"/>
    <b v="0"/>
    <b v="0"/>
    <d v="2026-06-05T00:00:00"/>
    <n v="141663.6"/>
    <n v="999"/>
    <x v="5"/>
    <s v="3.0–3.9"/>
  </r>
  <r>
    <s v="B0GMJLFCR7"/>
    <s v="Samsung Galaxy Buds4 Pro (Black) in-Ear Wireless Earbuds with Hi-Fi Audio | Adaptive ANC 2.0 and EQ 2.0 | 2-Way Speaker | 360-Audio | Voice Detect | Live Translation | Head Gesture | IP57"/>
    <s v="Earbuds"/>
    <n v="22999"/>
    <n v="29999"/>
    <n v="0.23300000000000001"/>
    <n v="4.5999999999999996"/>
    <n v="174"/>
    <n v="1"/>
    <b v="0"/>
    <b v="0"/>
    <b v="0"/>
    <b v="0"/>
    <d v="2026-06-05T00:00:00"/>
    <n v="800.4"/>
    <n v="22999"/>
    <x v="1"/>
    <s v="4.5–5.0"/>
  </r>
  <r>
    <s v="B0GDR29F53"/>
    <s v="Portronics Conch Theta C in Ear Type C Wired Earphones with in Line HD Mic, Powerful Audio, 14.2mm Driver, Unique Earbuds Design, TPE Anti Tangle Wire, in line Controls, Wide Compatibility(Orange)"/>
    <s v="Earbuds"/>
    <n v="322.54000000000002"/>
    <n v="799"/>
    <n v="0.59599999999999997"/>
    <n v="4.0999999999999996"/>
    <n v="9487"/>
    <n v="1"/>
    <b v="0"/>
    <b v="0"/>
    <b v="0"/>
    <b v="0"/>
    <d v="2026-06-05T00:00:00"/>
    <n v="38896.699999999997"/>
    <n v="322.54000000000002"/>
    <x v="4"/>
    <s v="4.0–4.4"/>
  </r>
  <r>
    <s v="B0GDQ28DY5"/>
    <s v="realme Buds Air 8,11mm+6mm Dual Dynamic Bass Drivers,58Hrs Playtime, 55dB ANC,6 Mic ENC, 45ms Low Latency, 360Â° Spatial Audio, Hi-Res LHDC, IP55 Dust &amp;amp; Water Resistant, BT v5.4 (Master Grey)"/>
    <s v="Earbuds"/>
    <n v="3599"/>
    <n v="5299"/>
    <n v="0.32100000000000001"/>
    <n v="4.2"/>
    <n v="794"/>
    <n v="1"/>
    <b v="0"/>
    <b v="0"/>
    <b v="0"/>
    <b v="0"/>
    <d v="2026-06-05T00:00:00"/>
    <n v="3334.8"/>
    <n v="3599"/>
    <x v="2"/>
    <s v="4.0–4.4"/>
  </r>
  <r>
    <s v="B0DS2Y94LS"/>
    <s v="Noise Buds VS102 Plus Wireless Earbuds, Bluetooth Earbuds with 70H Playtime, Quad Mic ENC for Clear Calls, 11mm Drivers, Deep Bass, Instacharge, Bluetooth v5.3 (Matte Black)"/>
    <s v="Earbuds"/>
    <n v="1199"/>
    <n v="3999"/>
    <n v="0.7"/>
    <n v="3.6"/>
    <n v="7217"/>
    <n v="1"/>
    <b v="0"/>
    <b v="0"/>
    <b v="0"/>
    <b v="0"/>
    <d v="2026-06-05T00:00:00"/>
    <n v="25981.200000000001"/>
    <n v="1199"/>
    <x v="2"/>
    <s v="3.0–3.9"/>
  </r>
  <r>
    <s v="B0GQTNXDYM"/>
    <s v="OnePlus Nord Buds 4 Pro TWS Earbuds Upto 55dB Real-time ANC, Adaptive Mode, 12mm Titanium-Coated Driver, Spatial Audio, Upto 54hrs Playback, Dual-Device connectivity, 47ms Low Latency, Radiant Gray"/>
    <s v="Earbuds"/>
    <n v="3999"/>
    <m/>
    <m/>
    <n v="4.3"/>
    <n v="655"/>
    <n v="1"/>
    <b v="0"/>
    <b v="0"/>
    <b v="0"/>
    <b v="0"/>
    <d v="2026-06-05T00:00:00"/>
    <n v="2816.5"/>
    <n v="3999"/>
    <x v="2"/>
    <s v="4.0–4.4"/>
  </r>
  <r>
    <s v="B0DCVLM12X"/>
    <s v="soundcore by Anker R50i VI True Wireless Earbuds, 10mm Drivers with Big Bass, Bluetooth 5.3, 30H Long Playtime, Water-Resistant, 2 Mics for AI Clear Calls, 22 Preset EQs, Customization (White)"/>
    <s v="Earbuds"/>
    <n v="929"/>
    <n v="2998"/>
    <n v="0.69"/>
    <n v="4.0999999999999996"/>
    <n v="356"/>
    <n v="1"/>
    <b v="0"/>
    <b v="0"/>
    <b v="0"/>
    <b v="0"/>
    <d v="2026-06-05T00:00:00"/>
    <n v="1459.6"/>
    <n v="929"/>
    <x v="5"/>
    <s v="4.0–4.4"/>
  </r>
  <r>
    <s v="B09Y5N4M7Z"/>
    <s v="Noise Buds VS104 Truly Wireless Earbuds with 45H of Playtime, Quad Mic with ENC, Instacharge(10 Min=200 Min), 13Mm Driver, Low Latency, BT V5.2 (Snow White)"/>
    <s v="Earbuds"/>
    <n v="1099"/>
    <n v="3499"/>
    <n v="0.68600000000000005"/>
    <n v="3.8"/>
    <n v="30056"/>
    <n v="1"/>
    <b v="0"/>
    <b v="0"/>
    <b v="0"/>
    <b v="0"/>
    <d v="2026-06-05T00:00:00"/>
    <n v="114212.79999999999"/>
    <n v="1099"/>
    <x v="2"/>
    <s v="3.0–3.9"/>
  </r>
  <r>
    <s v="B0F62JBFBS"/>
    <s v="pTron Bassbuds Spark in-Ear TWS Earbuds with Stereo Sound, 40Hrs Playtime, Stereo Calls, Bluetooth V5.3 Headphones with Quick Pairing, Touch Control, Voice Assistant, Type C Charging &amp;amp; IPX5 (Black)"/>
    <s v="Earbuds"/>
    <n v="597"/>
    <n v="1999"/>
    <n v="0.70099999999999996"/>
    <n v="3.9"/>
    <n v="3961"/>
    <n v="1"/>
    <b v="0"/>
    <b v="0"/>
    <b v="0"/>
    <b v="0"/>
    <d v="2026-06-05T00:00:00"/>
    <n v="15447.9"/>
    <n v="597"/>
    <x v="5"/>
    <s v="3.0–3.9"/>
  </r>
  <r>
    <s v="B0DRD7G7F5"/>
    <s v="realme Buds Air 7,12.4mm Dynamic Bass Drivers,52Hrs Playtime,52dB Hybrid ANC,6 Mic ENC,45ms Low Latency,360Â° Spatial Audio,Hi-Res LHDC,IP55 Dust &amp;amp; Water Resistant,True Wireless TWS BT v5.4(Moss Green)"/>
    <s v="Earbuds"/>
    <n v="2999"/>
    <n v="4999"/>
    <n v="0.4"/>
    <n v="4.3"/>
    <n v="3759"/>
    <n v="1"/>
    <b v="0"/>
    <b v="0"/>
    <b v="0"/>
    <b v="0"/>
    <d v="2026-06-05T00:00:00"/>
    <n v="16163.699999999999"/>
    <n v="2999"/>
    <x v="2"/>
    <s v="4.0–4.4"/>
  </r>
  <r>
    <s v="B0DHL63KWK"/>
    <s v="JBL Wave Buds 2 Wireless Ear Buds - Black"/>
    <s v="Earbuds"/>
    <n v="2499"/>
    <n v="6999"/>
    <n v="0.64300000000000002"/>
    <n v="3.5"/>
    <n v="47730"/>
    <n v="1"/>
    <b v="0"/>
    <b v="0"/>
    <b v="0"/>
    <b v="0"/>
    <d v="2026-06-05T00:00:00"/>
    <n v="167055"/>
    <n v="2499"/>
    <x v="2"/>
    <s v="3.0–3.9"/>
  </r>
  <r>
    <s v="B0FSDYHR92"/>
    <s v="Kratos Cube Ear Buds Wireless with 30H Playtime, Noise Isolation &amp;amp; Clear Calls, Bluetooth Earbuds with Voice Assistant, Ear Buds with Bluetooth V 5.3 &amp;amp; with Type C Fast Charging, IPX4 TWS Earphones"/>
    <s v="Earbuds"/>
    <n v="479"/>
    <n v="2999"/>
    <n v="0.84"/>
    <n v="3.5"/>
    <n v="498"/>
    <n v="1"/>
    <b v="0"/>
    <b v="0"/>
    <b v="0"/>
    <b v="0"/>
    <d v="2026-06-05T00:00:00"/>
    <n v="1743"/>
    <n v="479"/>
    <x v="4"/>
    <s v="3.0–3.9"/>
  </r>
  <r>
    <s v="B0FTFMNYBV"/>
    <s v="Mivi DuoPods Marathon Earbuds Wireless | Fast Charge | 70H Playtime | BT v5.3 | 13mm Drivers | Noise Cancellation | IPX4.0 TWS"/>
    <s v="Earbuds"/>
    <n v="999"/>
    <n v="3499"/>
    <n v="0.71399999999999997"/>
    <n v="4.2"/>
    <n v="948"/>
    <n v="1"/>
    <b v="0"/>
    <b v="0"/>
    <b v="0"/>
    <b v="0"/>
    <d v="2026-06-05T00:00:00"/>
    <n v="3981.6000000000004"/>
    <n v="999"/>
    <x v="5"/>
    <s v="4.0–4.4"/>
  </r>
  <r>
    <s v="B0DH2158PJ"/>
    <s v="Sounce Earphone Case Cover for Boat Airdopes 300 Premium TWS Soft Silicone Skin Case Cover Shock Absorbing Protective Case with Keychain [Front LED Visible] - Black"/>
    <s v="Earbuds"/>
    <n v="209"/>
    <n v="499"/>
    <n v="0.58099999999999996"/>
    <n v="3.2"/>
    <n v="669"/>
    <n v="1"/>
    <b v="0"/>
    <b v="0"/>
    <b v="0"/>
    <b v="0"/>
    <d v="2026-06-05T00:00:00"/>
    <n v="2140.8000000000002"/>
    <n v="209"/>
    <x v="4"/>
    <s v="3.0–3.9"/>
  </r>
  <r>
    <s v="B0GMQLR7JL"/>
    <s v="Earbuds for One Plus 12r/11r/10r/10t/10/10 pro/9/9 pro/8T/8/8pro/7Pro/7T/7TPro/Nord/Ce3 lite Wireless Earbuds (OPBR51)"/>
    <s v="Earbuds"/>
    <n v="690"/>
    <n v="1999"/>
    <n v="0.65500000000000003"/>
    <n v="1.7"/>
    <n v="10"/>
    <n v="1"/>
    <b v="0"/>
    <b v="0"/>
    <b v="0"/>
    <b v="0"/>
    <d v="2026-06-05T00:00:00"/>
    <n v="17"/>
    <n v="690"/>
    <x v="5"/>
    <s v="Below 2.0"/>
  </r>
  <r>
    <s v="B0CFYJ8HRS"/>
    <s v="Noise Pure Pods Wireless Open Ear Earbuds with AirWaveâ„¢ Technology,Up-to 80H Playtime,Quad Mic with ENC,16mm Neodymium Dynamic Driver,Detachable Pure Band,BTv5.3 (Power Black)"/>
    <s v="Earbuds"/>
    <n v="2999"/>
    <n v="6999"/>
    <n v="0.57199999999999995"/>
    <n v="3.3"/>
    <n v="3571"/>
    <n v="3"/>
    <b v="0"/>
    <b v="0"/>
    <b v="0"/>
    <b v="0"/>
    <d v="2026-06-05T00:00:00"/>
    <n v="11784.3"/>
    <n v="2999"/>
    <x v="2"/>
    <s v="3.0–3.9"/>
  </r>
  <r>
    <s v="B0GQTSHLLR"/>
    <s v="OnePlus Nord Buds 4 Pro TWS Earbuds, Upto 55dB Real-time ANC, Adaptive Mode, 12mm Titanium-Coated Driver, Spatial Audio, Upto 54hrs Playback, Dual-Device connectivity, 47ms Low Latency, Raven Black"/>
    <s v="Earbuds"/>
    <n v="3999"/>
    <m/>
    <m/>
    <n v="4.3"/>
    <n v="655"/>
    <n v="1"/>
    <b v="0"/>
    <b v="0"/>
    <b v="0"/>
    <b v="0"/>
    <d v="2026-06-05T00:00:00"/>
    <n v="2816.5"/>
    <n v="3999"/>
    <x v="2"/>
    <s v="4.0–4.4"/>
  </r>
  <r>
    <s v="B0D4VN3S8T"/>
    <s v="Boat Nirvana Space, 360Âº Spatial Audio, Active Noise Cancellation (~32dB), 100Hrs Battery,4Mics ENx, Fast Charge, v5.3 Bluetooth Earbuds, TWS Ear Buds Wireless Earphones with mic (Cosmic Black)"/>
    <s v="Earbuds"/>
    <n v="1799"/>
    <n v="7999"/>
    <n v="0.77500000000000002"/>
    <n v="4"/>
    <n v="6615"/>
    <n v="1"/>
    <b v="0"/>
    <b v="0"/>
    <b v="0"/>
    <b v="0"/>
    <d v="2026-06-05T00:00:00"/>
    <n v="26460"/>
    <n v="1799"/>
    <x v="2"/>
    <s v="4.0–4.4"/>
  </r>
  <r>
    <s v="B0D3R1LVR3"/>
    <s v="GOBOULT W20 Truly Wireless in Ear Earbuds with 40H Playtime, Zenâ„¢ ENC Mic, 45ms Low Latency, 13mm Bass Drivers, Type-C Fast Charging, Touch Controls, IPX5 Ear Buds TWS (Space Black)"/>
    <s v="Earbuds"/>
    <n v="899"/>
    <n v="2499"/>
    <n v="0.64"/>
    <n v="3.9"/>
    <n v="14890"/>
    <n v="1"/>
    <b v="0"/>
    <b v="0"/>
    <b v="0"/>
    <b v="0"/>
    <d v="2026-06-05T00:00:00"/>
    <n v="58071"/>
    <n v="899"/>
    <x v="5"/>
    <s v="3.0–3.9"/>
  </r>
  <r>
    <s v="B0FCLPQG26"/>
    <s v="Sony WF-C710NSA | Dual Noise Cancellation Wireless Bluetooth in Ear Earbuds | AI Call Quality | 40Hrs Battery W/O ANC | 30Hrs Battery with ANC - Black"/>
    <s v="Earbuds"/>
    <n v="6990"/>
    <n v="12990"/>
    <n v="0.46200000000000002"/>
    <n v="3.6"/>
    <n v="1083"/>
    <n v="1"/>
    <b v="0"/>
    <b v="0"/>
    <b v="0"/>
    <b v="0"/>
    <d v="2026-06-05T00:00:00"/>
    <n v="3898.8"/>
    <n v="6990"/>
    <x v="0"/>
    <s v="3.0–3.9"/>
  </r>
  <r>
    <s v="B0GZSJ3XKW"/>
    <s v="CME Buds 2A Global Version in-Ear Wireless Earphone 12.4mm Driver 42dB ANC 4HD Mics Up to 35.5H Playback IP54 BT 5.4"/>
    <s v="Earbuds"/>
    <n v="399"/>
    <n v="1999"/>
    <n v="0.8"/>
    <m/>
    <n v="0"/>
    <n v="1"/>
    <b v="0"/>
    <b v="0"/>
    <b v="0"/>
    <b v="0"/>
    <d v="2026-06-05T00:00:00"/>
    <s v=""/>
    <n v="399"/>
    <x v="4"/>
    <s v="Not Rated"/>
  </r>
  <r>
    <s v="B0DBHBZZTN"/>
    <s v="Boat Nirvana Ivy, 50dB Hybrid ANC, 360Âº Spatial Audio, Dynamic Head Tracking,Fast Charge,App Support, 50HRS Battery, v5.3 Bluetooth Earbuds, TWS Ear Buds Wireless Earphones with mic (Quartz Cyan)"/>
    <s v="Earbuds"/>
    <n v="3299"/>
    <n v="17990"/>
    <n v="0.81699999999999995"/>
    <n v="3.8"/>
    <n v="1368"/>
    <n v="1"/>
    <b v="0"/>
    <b v="0"/>
    <b v="0"/>
    <b v="0"/>
    <d v="2026-06-05T00:00:00"/>
    <n v="5198.3999999999996"/>
    <n v="3299"/>
    <x v="2"/>
    <s v="3.0–3.9"/>
  </r>
  <r>
    <s v="B0GCNNWM13"/>
    <s v="Noise Buds Mini Truly Wireless Earbuds (2026) | Half in-Ear Design | 40H Playtime | Quad Mic ENC for Clear Calls | 13mm Driver | Low Latency Gaming Mode | BT v5.3 | IPX4 Sweat Resistant - Jet Black"/>
    <s v="Earbuds"/>
    <n v="899"/>
    <n v="2999"/>
    <n v="0.7"/>
    <n v="3.9"/>
    <n v="3792"/>
    <n v="1"/>
    <b v="0"/>
    <b v="0"/>
    <b v="0"/>
    <b v="0"/>
    <d v="2026-06-05T00:00:00"/>
    <n v="14788.8"/>
    <n v="899"/>
    <x v="5"/>
    <s v="3.0–3.9"/>
  </r>
  <r>
    <s v="B0GF7M1X2N"/>
    <s v="GOBOULT Tenet TWS Earbuds with 75H Playtime, Amp App Support, Quad Mic ENC, Dual Device Pairing Buds, 13mm Driver Ear Buds, Bluetooth 5.4 Wireless Earbuds (Turbo Orange)"/>
    <s v="Earbuds"/>
    <n v="1499"/>
    <n v="5499"/>
    <n v="0.72699999999999998"/>
    <n v="4"/>
    <n v="971"/>
    <n v="1"/>
    <b v="0"/>
    <b v="0"/>
    <b v="0"/>
    <b v="0"/>
    <d v="2026-06-05T00:00:00"/>
    <n v="3884"/>
    <n v="1499"/>
    <x v="2"/>
    <s v="4.0–4.4"/>
  </r>
  <r>
    <s v="B0FZ9YLWP1"/>
    <s v="Noise Newly Launched Buds Connect 3 Truly Wireless Earbuds with 40H of Playtime, Quad Mic with ENC, Low Latency, 10mm Driver, BT V5.4(Slate Black)"/>
    <s v="Earbuds"/>
    <n v="1499"/>
    <n v="3999"/>
    <n v="0.625"/>
    <n v="4"/>
    <n v="127"/>
    <n v="1"/>
    <b v="0"/>
    <b v="0"/>
    <b v="0"/>
    <b v="0"/>
    <d v="2026-06-05T00:00:00"/>
    <n v="508"/>
    <n v="1499"/>
    <x v="2"/>
    <s v="4.0–4.4"/>
  </r>
  <r>
    <s v="B0G2S1MZRX"/>
    <s v="Boat 2026 Launch Nirvana Crown, Sonic ARC, LEDs, Haptic Feedback,50dB Hybrid ANC,Spatial Audio, 6 Mic ENx, App Support, v6.0 Bluetooth Earbuds, TWS Ear Buds Wireless Earphones with mic (Blazing Red)"/>
    <s v="Earbuds"/>
    <n v="2599"/>
    <n v="9990"/>
    <n v="0.74"/>
    <n v="3.7"/>
    <n v="543"/>
    <n v="1"/>
    <b v="0"/>
    <b v="0"/>
    <b v="0"/>
    <b v="0"/>
    <d v="2026-06-05T00:00:00"/>
    <n v="2009.1000000000001"/>
    <n v="2599"/>
    <x v="2"/>
    <s v="3.0–3.9"/>
  </r>
  <r>
    <s v="B0CQJZD55X"/>
    <s v="Noise Buds N1 Truly Wireless Earbuds with Chrome Finish, 40H of Playtime, Quad Mic with ENC, Ultra Low Latency Gaming (Up to 40 Ms), Instacharge(10 Min=120 Min), Bluetooth V5.3(Ice Blue)"/>
    <s v="Earbuds"/>
    <n v="999"/>
    <n v="3499"/>
    <n v="0.71399999999999997"/>
    <n v="3.8"/>
    <n v="15622"/>
    <n v="1"/>
    <b v="0"/>
    <b v="0"/>
    <b v="0"/>
    <b v="0"/>
    <d v="2026-06-05T00:00:00"/>
    <n v="59363.6"/>
    <n v="999"/>
    <x v="5"/>
    <s v="3.0–3.9"/>
  </r>
  <r>
    <s v="B0D9K1TSMP"/>
    <s v="Sounce Earphone Case Cover for Boat Airdopes 800 TWS Soft Silicone Skin Case Cover Shock Absorbing Protective Case with Keychain [Front LED Visible] - Black"/>
    <s v="Earbuds"/>
    <n v="209"/>
    <n v="499"/>
    <n v="0.58099999999999996"/>
    <n v="4.0999999999999996"/>
    <n v="968"/>
    <n v="1"/>
    <b v="0"/>
    <b v="0"/>
    <b v="0"/>
    <b v="0"/>
    <d v="2026-06-05T00:00:00"/>
    <n v="3968.7999999999997"/>
    <n v="209"/>
    <x v="4"/>
    <s v="4.0–4.4"/>
  </r>
  <r>
    <s v="B0DN1RPL19"/>
    <s v="GOBOULT Mustang Torq Wireless in Ear Earbuds with 60H Playtime, App Support, Quad Mic ENC, 45ms Low Latency, 13mm Driver, Breathing LEDs, Made in India Ear Buds Wireless (Silver)"/>
    <s v="Earbuds"/>
    <n v="1799"/>
    <n v="5999"/>
    <n v="0.7"/>
    <n v="4"/>
    <n v="13588"/>
    <n v="1"/>
    <b v="0"/>
    <b v="0"/>
    <b v="0"/>
    <b v="0"/>
    <d v="2026-06-05T00:00:00"/>
    <n v="54352"/>
    <n v="1799"/>
    <x v="2"/>
    <s v="4.0–4.4"/>
  </r>
  <r>
    <s v="B0FCM61QWL"/>
    <s v="VW 80 cm (32 inches) OptimaX Series HD Ready Smart QLED Android TV VW32AQ1"/>
    <s v="Television"/>
    <n v="8999"/>
    <n v="18999"/>
    <n v="0.52600000000000002"/>
    <n v="3.8"/>
    <n v="3015"/>
    <n v="1"/>
    <b v="0"/>
    <b v="0"/>
    <b v="0"/>
    <b v="0"/>
    <d v="2026-06-05T00:00:00"/>
    <n v="11457"/>
    <n v="8999"/>
    <x v="0"/>
    <s v="3.0–3.9"/>
  </r>
  <r>
    <s v="B0GX52LD7V"/>
    <s v="VW 109 cm (43 inches) Spectra Series Full HD Smart QLED Android TV VW43AQ3"/>
    <s v="Television"/>
    <n v="14999"/>
    <n v="29999"/>
    <n v="0.5"/>
    <n v="4.2"/>
    <n v="15713"/>
    <n v="1"/>
    <b v="0"/>
    <b v="0"/>
    <b v="0"/>
    <b v="0"/>
    <d v="2026-06-05T00:00:00"/>
    <n v="65994.600000000006"/>
    <n v="14999"/>
    <x v="1"/>
    <s v="4.0–4.4"/>
  </r>
  <r>
    <s v="B0F3JM1YP5"/>
    <s v="Xiaomi 80 cm (32 inch) F Series HD Ready Smart LED Fire TV L32MB-FIN"/>
    <s v="Television"/>
    <n v="12999"/>
    <m/>
    <m/>
    <n v="4.2"/>
    <n v="914"/>
    <n v="1"/>
    <b v="0"/>
    <b v="0"/>
    <b v="0"/>
    <b v="0"/>
    <d v="2026-06-05T00:00:00"/>
    <n v="3838.8"/>
    <n v="12999"/>
    <x v="1"/>
    <s v="4.0–4.4"/>
  </r>
  <r>
    <s v="B0F84DKX8K"/>
    <s v="Samsung 108 cm (43 inches) FHD Smart LED TV UA43F5550FUXXL"/>
    <s v="Television"/>
    <n v="23990"/>
    <n v="27500"/>
    <n v="0.128"/>
    <n v="4.0999999999999996"/>
    <n v="5926"/>
    <n v="1"/>
    <b v="0"/>
    <b v="0"/>
    <b v="1"/>
    <b v="0"/>
    <d v="2026-06-05T00:00:00"/>
    <n v="24296.6"/>
    <n v="23990"/>
    <x v="1"/>
    <s v="4.0–4.4"/>
  </r>
  <r>
    <s v="B0GJG3GKYD"/>
    <s v="Uniboom_Optima Series 60 cm (24 inch) HD Ready LED TV 2025 Edition with 30W Sonic Boom - True Frameless - Aura Vision+ Display - (Non Smart)- 24N-ULT-AED"/>
    <s v="Television"/>
    <n v="5490"/>
    <n v="20990"/>
    <n v="0.73799999999999999"/>
    <n v="4.0999999999999996"/>
    <n v="157"/>
    <n v="1"/>
    <b v="0"/>
    <b v="0"/>
    <b v="0"/>
    <b v="0"/>
    <d v="2026-06-05T00:00:00"/>
    <n v="643.69999999999993"/>
    <n v="5490"/>
    <x v="0"/>
    <s v="4.0–4.4"/>
  </r>
  <r>
    <s v="B0F222LP9Y"/>
    <s v="Kodak QLED SE 100 cm (40 inch) QLED Full HD Smart Linux TV 2025 Edition (40QSE5009)"/>
    <s v="Television"/>
    <n v="13999"/>
    <n v="25999"/>
    <n v="0.46200000000000002"/>
    <n v="3.8"/>
    <n v="3020"/>
    <n v="1"/>
    <b v="0"/>
    <b v="0"/>
    <b v="0"/>
    <b v="0"/>
    <d v="2026-06-05T00:00:00"/>
    <n v="11476"/>
    <n v="13999"/>
    <x v="1"/>
    <s v="3.0–3.9"/>
  </r>
  <r>
    <s v="B0DZHRYFG7"/>
    <s v="TCL 101 cms (40 inches) V5C Series Full HD Smart QLED TV Google TV 40V5C"/>
    <s v="Television"/>
    <n v="20990"/>
    <n v="35990"/>
    <n v="0.41699999999999998"/>
    <n v="4"/>
    <n v="2226"/>
    <n v="1"/>
    <b v="0"/>
    <b v="0"/>
    <b v="0"/>
    <b v="0"/>
    <d v="2026-06-05T00:00:00"/>
    <n v="8904"/>
    <n v="20990"/>
    <x v="1"/>
    <s v="4.0–4.4"/>
  </r>
  <r>
    <s v="B0DBZGXXP7"/>
    <s v="Foxsky 139 cm (55 inch) Frameless Series QLED 4K Ultra HD LED Smart TV FS55GATV (Black)"/>
    <s v="Television"/>
    <n v="25299"/>
    <n v="98990"/>
    <n v="0.74399999999999999"/>
    <n v="3.6"/>
    <n v="109"/>
    <n v="1"/>
    <b v="0"/>
    <b v="0"/>
    <b v="0"/>
    <b v="0"/>
    <d v="2026-06-05T00:00:00"/>
    <n v="392.40000000000003"/>
    <n v="25299"/>
    <x v="1"/>
    <s v="3.0–3.9"/>
  </r>
  <r>
    <s v="B0FBW5S6H2"/>
    <s v="Philips 108 cm (43 inches) 6100 Series Frameless Full HD Smart LED Google TV 43PFT6130/94"/>
    <s v="Television"/>
    <n v="22999"/>
    <n v="34999"/>
    <n v="0.34300000000000003"/>
    <n v="4.2"/>
    <n v="739"/>
    <n v="1"/>
    <b v="0"/>
    <b v="0"/>
    <b v="0"/>
    <b v="0"/>
    <d v="2026-06-05T00:00:00"/>
    <n v="3103.8"/>
    <n v="22999"/>
    <x v="1"/>
    <s v="4.0–4.4"/>
  </r>
  <r>
    <s v="B07MNNH484"/>
    <s v="VW 80 cm (32 inches) Frameless Series HD Ready Android Smart LED TV VW32S"/>
    <s v="Television"/>
    <n v="8499"/>
    <n v="16999"/>
    <n v="0.5"/>
    <n v="3.6"/>
    <n v="6823"/>
    <n v="1"/>
    <b v="0"/>
    <b v="0"/>
    <b v="0"/>
    <b v="0"/>
    <d v="2026-06-05T00:00:00"/>
    <n v="24562.799999999999"/>
    <n v="8499"/>
    <x v="0"/>
    <s v="3.0–3.9"/>
  </r>
  <r>
    <s v="B0DFYBF423"/>
    <s v="Blaupunkt 80 cm (32 inches) Quantum Dot Series QLED Google Android TV 32QD7080"/>
    <s v="Television"/>
    <n v="10999"/>
    <n v="22999"/>
    <n v="0.52200000000000002"/>
    <n v="3.9"/>
    <n v="1431"/>
    <n v="1"/>
    <b v="0"/>
    <b v="0"/>
    <b v="0"/>
    <b v="0"/>
    <d v="2026-06-05T00:00:00"/>
    <n v="5580.9"/>
    <n v="10999"/>
    <x v="1"/>
    <s v="3.0–3.9"/>
  </r>
  <r>
    <s v="B0FDQRTXBC"/>
    <s v="Philips 165 cm (65 inches) 8100 Series 4K Ultra HD Smart QLED Google TV 65PQT8100/94"/>
    <s v="Television"/>
    <n v="55999"/>
    <n v="64990"/>
    <n v="0.13800000000000001"/>
    <n v="4.2"/>
    <n v="1429"/>
    <n v="1"/>
    <b v="0"/>
    <b v="0"/>
    <b v="0"/>
    <b v="0"/>
    <d v="2026-06-05T00:00:00"/>
    <n v="6001.8"/>
    <n v="55999"/>
    <x v="1"/>
    <s v="4.0–4.4"/>
  </r>
  <r>
    <s v="B0G2CG8XQX"/>
    <s v="coocaa 164 cm (65 inches) 4K Ultra HD Smart Mini LED QLED Google TV 65MINI75Q"/>
    <s v="Television"/>
    <n v="45999"/>
    <n v="79999"/>
    <n v="0.42499999999999999"/>
    <n v="4.3"/>
    <n v="76"/>
    <n v="1"/>
    <b v="0"/>
    <b v="0"/>
    <b v="0"/>
    <b v="0"/>
    <d v="2026-06-05T00:00:00"/>
    <n v="326.8"/>
    <n v="45999"/>
    <x v="1"/>
    <s v="4.0–4.4"/>
  </r>
  <r>
    <s v="B0F6ZCRGG5"/>
    <s v="Xiaomi 108 cm (43 inch) A Full HD Smart Google LED TV L43MB-AFIN"/>
    <s v="Television"/>
    <n v="21999"/>
    <n v="30999"/>
    <n v="0.28999999999999998"/>
    <n v="4.0999999999999996"/>
    <n v="426"/>
    <n v="1"/>
    <b v="0"/>
    <b v="0"/>
    <b v="0"/>
    <b v="0"/>
    <d v="2026-06-05T00:00:00"/>
    <n v="1746.6"/>
    <n v="21999"/>
    <x v="1"/>
    <s v="4.0–4.4"/>
  </r>
  <r>
    <s v="B0GJGCNL3B"/>
    <s v="Uniboom_Optima Series102 cm (40 inch)HD Smart LED TV | Android TV with Voice Command App |5000+ Free Movies |30W Sonic Boom Speakers| 500+ Certified Apps |Mobile Remote |Mobile Screen Cast 40S-ULT-AED"/>
    <s v="Television"/>
    <m/>
    <m/>
    <m/>
    <n v="4.4000000000000004"/>
    <n v="10"/>
    <n v="1"/>
    <b v="0"/>
    <b v="0"/>
    <b v="0"/>
    <b v="0"/>
    <d v="2026-06-05T00:00:00"/>
    <n v="44"/>
    <m/>
    <x v="3"/>
    <s v="4.0–4.4"/>
  </r>
  <r>
    <s v="B0GQC14DKQ"/>
    <s v="Onida 108 cm (43 inch) QLED Ultra HD 4K Smart Fire TV Q43UFD"/>
    <s v="Television"/>
    <n v="24499"/>
    <n v="41490"/>
    <n v="0.41"/>
    <n v="4.5"/>
    <n v="13"/>
    <n v="1"/>
    <b v="0"/>
    <b v="0"/>
    <b v="0"/>
    <b v="0"/>
    <d v="2026-06-05T00:00:00"/>
    <n v="58.5"/>
    <n v="24499"/>
    <x v="1"/>
    <s v="4.5–5.0"/>
  </r>
  <r>
    <s v="B0F2J6QCJB"/>
    <s v="TCL 189 cm (75 inches) Metallic Bezel Less Series 4K Ultra HD Smart LED Google TV 75V6C (Black)"/>
    <s v="Television"/>
    <n v="66990"/>
    <n v="199990"/>
    <n v="0.66500000000000004"/>
    <n v="4.0999999999999996"/>
    <n v="892"/>
    <n v="1"/>
    <b v="0"/>
    <b v="0"/>
    <b v="0"/>
    <b v="0"/>
    <d v="2026-06-05T00:00:00"/>
    <n v="3657.2"/>
    <n v="66990"/>
    <x v="1"/>
    <s v="4.0–4.4"/>
  </r>
  <r>
    <s v="B0GK9D99SG"/>
    <s v="VW 127 cm (50 inches) Pro Series 4K Ultra HD Smart QLED Google TV VW50GQ2"/>
    <s v="Television"/>
    <n v="25999"/>
    <n v="99999"/>
    <n v="0.74"/>
    <n v="4.4000000000000004"/>
    <n v="331"/>
    <n v="1"/>
    <b v="0"/>
    <b v="0"/>
    <b v="0"/>
    <b v="0"/>
    <d v="2026-06-05T00:00:00"/>
    <n v="1456.4"/>
    <n v="25999"/>
    <x v="1"/>
    <s v="4.0–4.4"/>
  </r>
  <r>
    <s v="B0DR2Q2R44"/>
    <s v="VW 80 cm (32 inches) Pro Series HD Ready Smart QLED Google TV VW32GQ1"/>
    <s v="Television"/>
    <n v="9999"/>
    <n v="22999"/>
    <n v="0.56499999999999995"/>
    <n v="4.0999999999999996"/>
    <n v="1082"/>
    <n v="1"/>
    <b v="0"/>
    <b v="0"/>
    <b v="0"/>
    <b v="0"/>
    <d v="2026-06-05T00:00:00"/>
    <n v="4436.2"/>
    <n v="9999"/>
    <x v="0"/>
    <s v="4.0–4.4"/>
  </r>
  <r>
    <s v="B0F43CHDSN"/>
    <s v="Samsung 138 cm (55 inches) Vision AI 4K Ultra HD Smart QLED TV QA55QEF1AULXL"/>
    <s v="Television"/>
    <n v="43990"/>
    <n v="75500"/>
    <n v="0.41699999999999998"/>
    <n v="4"/>
    <n v="1272"/>
    <n v="1"/>
    <b v="0"/>
    <b v="0"/>
    <b v="0"/>
    <b v="0"/>
    <d v="2026-06-05T00:00:00"/>
    <n v="5088"/>
    <n v="43990"/>
    <x v="1"/>
    <s v="4.0–4.4"/>
  </r>
  <r>
    <s v="B0F437CWLS"/>
    <s v="Samsung 125 cm (50 inches) Crystal 4K Vista Ultra HD Smart LED TV UA50UE81AFULXL"/>
    <s v="Television"/>
    <n v="38990"/>
    <n v="50600"/>
    <n v="0.22900000000000001"/>
    <n v="4"/>
    <n v="636"/>
    <n v="1"/>
    <b v="0"/>
    <b v="0"/>
    <b v="0"/>
    <b v="0"/>
    <d v="2026-06-05T00:00:00"/>
    <n v="2544"/>
    <n v="38990"/>
    <x v="1"/>
    <s v="4.0–4.4"/>
  </r>
  <r>
    <s v="B0CVV489CY"/>
    <s v="80 cm (32 inches) Glow Series HD Ready Smart QLED Android TV BAZ32S (Black)"/>
    <s v="Television"/>
    <n v="9999"/>
    <n v="55290"/>
    <n v="0.81899999999999995"/>
    <n v="3.3"/>
    <n v="51"/>
    <n v="1"/>
    <b v="0"/>
    <b v="0"/>
    <b v="0"/>
    <b v="0"/>
    <d v="2026-06-05T00:00:00"/>
    <n v="168.29999999999998"/>
    <n v="9999"/>
    <x v="0"/>
    <s v="3.0–3.9"/>
  </r>
  <r>
    <s v="B0G6LTHMLF"/>
    <s v="Philips 138 cm (55 inches) 4K Ultra HD QLED Smart QD-Mini LED Google TV 55MLED610/94"/>
    <s v="Television"/>
    <n v="45999"/>
    <n v="84999"/>
    <n v="0.45900000000000002"/>
    <n v="4.4000000000000004"/>
    <n v="164"/>
    <n v="1"/>
    <b v="0"/>
    <b v="0"/>
    <b v="0"/>
    <b v="0"/>
    <d v="2026-06-05T00:00:00"/>
    <n v="721.6"/>
    <n v="45999"/>
    <x v="1"/>
    <s v="4.0–4.4"/>
  </r>
  <r>
    <s v="B0FDW7819M"/>
    <s v="Acer 127 cm (50 inches) Ultra I Series 4K Ultra HD Smart LED Google TV AR50UDGGU2875BD"/>
    <s v="Television"/>
    <n v="24999"/>
    <n v="63999"/>
    <n v="0.60899999999999999"/>
    <n v="3.3"/>
    <n v="208"/>
    <n v="1"/>
    <b v="0"/>
    <b v="0"/>
    <b v="0"/>
    <b v="0"/>
    <d v="2026-06-05T00:00:00"/>
    <n v="686.4"/>
    <n v="24999"/>
    <x v="1"/>
    <s v="3.0–3.9"/>
  </r>
  <r>
    <s v="B0H116Z7DT"/>
    <s v="24â€INCH HD Ready Android Smart LED TV | WiFi Enabled | Built-in Apps Compatible (YouTube, Netflix, Prime Video) | Screen Mirroring | HDMI, USB Connectivity | Premium Slim &amp;amp; Stylish Design Black"/>
    <s v="Television"/>
    <n v="6999"/>
    <n v="12999"/>
    <n v="0.46200000000000002"/>
    <n v="4"/>
    <n v="3"/>
    <n v="1"/>
    <b v="0"/>
    <b v="0"/>
    <b v="0"/>
    <b v="0"/>
    <d v="2026-06-05T00:00:00"/>
    <n v="12"/>
    <n v="6999"/>
    <x v="0"/>
    <s v="4.0–4.4"/>
  </r>
  <r>
    <s v="B0FBS91DQF"/>
    <s v="Vu 164cm (65 inches) Vibe Series 4K QLED Smart Google TV 65VIBE-DV"/>
    <s v="Television"/>
    <n v="49990"/>
    <n v="80000"/>
    <n v="0.375"/>
    <n v="4.3"/>
    <n v="1791"/>
    <n v="1"/>
    <b v="0"/>
    <b v="0"/>
    <b v="0"/>
    <b v="0"/>
    <d v="2026-06-05T00:00:00"/>
    <n v="7701.2999999999993"/>
    <n v="49990"/>
    <x v="1"/>
    <s v="4.0–4.4"/>
  </r>
  <r>
    <s v="B0F38M36TN"/>
    <s v="TCL 139 cm (55 inches) 4K Ultra HD Smart QLED Google TV 55T8C"/>
    <s v="Television"/>
    <n v="42990"/>
    <n v="109990"/>
    <n v="0.60899999999999999"/>
    <n v="4.0999999999999996"/>
    <n v="1188"/>
    <n v="1"/>
    <b v="0"/>
    <b v="0"/>
    <b v="0"/>
    <b v="0"/>
    <d v="2026-06-05T00:00:00"/>
    <n v="4870.7999999999993"/>
    <n v="42990"/>
    <x v="1"/>
    <s v="4.0–4.4"/>
  </r>
  <r>
    <s v="B0F6YVKDR2"/>
    <s v="Xiaomi 138 cm (55 inch) X Ultra HD 4K Smart Google LED TV L55MB-AIN"/>
    <s v="Television"/>
    <n v="36999"/>
    <n v="48999"/>
    <n v="0.245"/>
    <n v="4.0999999999999996"/>
    <n v="4466"/>
    <n v="1"/>
    <b v="0"/>
    <b v="0"/>
    <b v="0"/>
    <b v="0"/>
    <d v="2026-06-05T00:00:00"/>
    <n v="18310.599999999999"/>
    <n v="36999"/>
    <x v="1"/>
    <s v="4.0–4.4"/>
  </r>
  <r>
    <s v="B0DH8984MM"/>
    <s v="Vu 139cm (55 inches) Masterpiece Frame Series 4K QLED TV 55MASTERPIECE (Armani Gold)"/>
    <s v="Television"/>
    <n v="49990"/>
    <n v="65000"/>
    <n v="0.23100000000000001"/>
    <n v="4.4000000000000004"/>
    <n v="607"/>
    <n v="1"/>
    <b v="0"/>
    <b v="0"/>
    <b v="0"/>
    <b v="0"/>
    <d v="2026-06-05T00:00:00"/>
    <n v="2670.8"/>
    <n v="49990"/>
    <x v="1"/>
    <s v="4.0–4.4"/>
  </r>
  <r>
    <s v="B0F3HZP9XR"/>
    <s v="TCL 189 cm (75 inches) 4K UHD Smart QD-Mini LED Google TV 75Q6C"/>
    <s v="Television"/>
    <n v="99990"/>
    <n v="299990"/>
    <n v="0.66700000000000004"/>
    <n v="4.0999999999999996"/>
    <n v="1318"/>
    <n v="1"/>
    <b v="0"/>
    <b v="0"/>
    <b v="0"/>
    <b v="0"/>
    <d v="2026-06-05T00:00:00"/>
    <n v="5403.7999999999993"/>
    <n v="99990"/>
    <x v="1"/>
    <s v="4.0–4.4"/>
  </r>
  <r>
    <s v="B0C6F23XP1"/>
    <s v="Hisense 305 cm (120 inches) Trichrom ALR Screen Series 4K Ultra HD Smart Laser TV 120L9HE (Black)"/>
    <s v="Television"/>
    <n v="499999"/>
    <m/>
    <m/>
    <n v="3.6"/>
    <n v="18"/>
    <n v="1"/>
    <b v="0"/>
    <b v="0"/>
    <b v="0"/>
    <b v="0"/>
    <d v="2026-06-05T00:00:00"/>
    <n v="64.8"/>
    <n v="499999"/>
    <x v="1"/>
    <s v="3.0–3.9"/>
  </r>
  <r>
    <s v="B0DZHMX6D3"/>
    <s v="TCL 80 cms (32 inches) V4C Series HD Ready Smart QLED Google TV 32V4C"/>
    <s v="Television"/>
    <n v="14990"/>
    <n v="20490"/>
    <n v="0.26800000000000002"/>
    <n v="4.2"/>
    <n v="360"/>
    <n v="1"/>
    <b v="0"/>
    <b v="0"/>
    <b v="0"/>
    <b v="0"/>
    <d v="2026-06-05T00:00:00"/>
    <n v="1512"/>
    <n v="14990"/>
    <x v="1"/>
    <s v="4.0–4.4"/>
  </r>
  <r>
    <s v="B0GTL292WP"/>
    <s v="Xiaomi 165 cm (65 inches) 4K UHD Smart Quantum MagiQ S Mini LED Google TV L65MC-IN"/>
    <s v="Television"/>
    <n v="71999"/>
    <n v="119999"/>
    <n v="0.4"/>
    <n v="4.2"/>
    <n v="50"/>
    <n v="1"/>
    <b v="0"/>
    <b v="0"/>
    <b v="0"/>
    <b v="0"/>
    <d v="2026-06-05T00:00:00"/>
    <n v="210"/>
    <n v="71999"/>
    <x v="1"/>
    <s v="4.0–4.4"/>
  </r>
  <r>
    <s v="B0GTZ8M66Y"/>
    <s v="LG 126 cms (50 inches) NU87 AI Series Nano 4K Ultra HD Smart webOS VA LED TV 50NU870BPLA"/>
    <s v="Television"/>
    <n v="39999"/>
    <n v="65990"/>
    <n v="0.39400000000000002"/>
    <n v="4"/>
    <n v="9025"/>
    <n v="1"/>
    <b v="0"/>
    <b v="0"/>
    <b v="0"/>
    <b v="0"/>
    <d v="2026-06-05T00:00:00"/>
    <n v="36100"/>
    <n v="39999"/>
    <x v="1"/>
    <s v="4.0–4.4"/>
  </r>
  <r>
    <s v="B09Y66SYY2"/>
    <s v="Samsung 214 cm (85 inches) 4K Ultra HD Smart QLED TV QA85Q60BAKXXL (Black)"/>
    <s v="Television"/>
    <n v="471990"/>
    <n v="691300"/>
    <n v="0.317"/>
    <m/>
    <n v="0"/>
    <n v="1"/>
    <b v="0"/>
    <b v="0"/>
    <b v="0"/>
    <b v="0"/>
    <d v="2026-06-05T00:00:00"/>
    <s v=""/>
    <n v="471990"/>
    <x v="1"/>
    <s v="Not Rated"/>
  </r>
  <r>
    <s v="B0FG37BH6L"/>
    <s v="Vu 164cm (65 inches) GloQLED Series 4K QLED Smart Google TV 65GLOQLED25"/>
    <s v="Television"/>
    <n v="47999"/>
    <n v="70000"/>
    <n v="0.314"/>
    <n v="4.3"/>
    <n v="620"/>
    <n v="1"/>
    <b v="0"/>
    <b v="0"/>
    <b v="0"/>
    <b v="0"/>
    <d v="2026-06-05T00:00:00"/>
    <n v="2666"/>
    <n v="47999"/>
    <x v="1"/>
    <s v="4.0–4.4"/>
  </r>
  <r>
    <s v="B0FBM79V24"/>
    <s v="Onida 80 cm (32 inch) Smart Genius Series HD Ready Smart LED TV 32AHI"/>
    <s v="Television"/>
    <n v="10499"/>
    <n v="19990"/>
    <n v="0.47499999999999998"/>
    <n v="3.4"/>
    <n v="145"/>
    <n v="1"/>
    <b v="0"/>
    <b v="0"/>
    <b v="0"/>
    <b v="0"/>
    <d v="2026-06-05T00:00:00"/>
    <n v="493"/>
    <n v="10499"/>
    <x v="1"/>
    <s v="3.0–3.9"/>
  </r>
  <r>
    <s v="B0F3JL3MSL"/>
    <s v="TCL 248 cm (98 inches) 4K Ultra HD Smart QLED Google TV 98P8K"/>
    <s v="Television"/>
    <n v="229990"/>
    <n v="699990"/>
    <n v="0.67100000000000004"/>
    <n v="5"/>
    <n v="1"/>
    <n v="1"/>
    <b v="0"/>
    <b v="0"/>
    <b v="0"/>
    <b v="0"/>
    <d v="2026-06-05T00:00:00"/>
    <n v="5"/>
    <n v="229990"/>
    <x v="1"/>
    <s v="4.5–5.0"/>
  </r>
  <r>
    <s v="B0FB35J4B6"/>
    <s v="LG 126 cm (50 inches) UA82 AI Series 4K Ultra HD (3840 x 2160) Smart webOS LED TV 50UA82006LA"/>
    <s v="Television"/>
    <m/>
    <m/>
    <m/>
    <n v="4"/>
    <n v="9025"/>
    <n v="1"/>
    <b v="0"/>
    <b v="0"/>
    <b v="0"/>
    <b v="0"/>
    <d v="2026-06-05T00:00:00"/>
    <n v="36100"/>
    <m/>
    <x v="3"/>
    <s v="4.0–4.4"/>
  </r>
  <r>
    <s v="B0DS18SHTL"/>
    <s v="JVC 190 cm (75 inches) AI Vision Series QLED Google TV LT-75NQ7165C (Black)"/>
    <s v="Television"/>
    <n v="90499"/>
    <n v="119999"/>
    <n v="0.246"/>
    <n v="3.5"/>
    <n v="334"/>
    <n v="1"/>
    <b v="0"/>
    <b v="0"/>
    <b v="0"/>
    <b v="0"/>
    <d v="2026-06-05T00:00:00"/>
    <n v="1169"/>
    <n v="90499"/>
    <x v="1"/>
    <s v="3.0–3.9"/>
  </r>
  <r>
    <s v="B0GY3TLT1X"/>
    <s v="Sony 215 cm (85 inches) BRAVIA 3II Ultra HD Smart LED Google TV K-85XR35M"/>
    <s v="Television"/>
    <n v="294490"/>
    <n v="499900"/>
    <n v="0.41099999999999998"/>
    <m/>
    <n v="0"/>
    <n v="1"/>
    <b v="0"/>
    <b v="0"/>
    <b v="0"/>
    <b v="0"/>
    <d v="2026-06-05T00:00:00"/>
    <s v=""/>
    <n v="294490"/>
    <x v="1"/>
    <s v="Not Rated"/>
  </r>
  <r>
    <s v="B0F7X88XC1"/>
    <s v="Sony 189 cm (75 inches) BRAVIA 2M2 Series 4K Ultra HD Smart LED Google TV K-75S25BM2"/>
    <s v="Television"/>
    <n v="123990"/>
    <n v="239900"/>
    <n v="0.48299999999999998"/>
    <n v="4.5999999999999996"/>
    <n v="1351"/>
    <n v="1"/>
    <b v="0"/>
    <b v="0"/>
    <b v="0"/>
    <b v="0"/>
    <d v="2026-06-05T00:00:00"/>
    <n v="6214.5999999999995"/>
    <n v="123990"/>
    <x v="1"/>
    <s v="4.5–5.0"/>
  </r>
  <r>
    <s v="B0GK9NHCL2"/>
    <s v="VW 165 cm (65 inches) Pro Series 4K Ultra HD Smart QLED Google TV VW65GQ2"/>
    <s v="Television"/>
    <n v="40999"/>
    <n v="149999"/>
    <n v="0.72699999999999998"/>
    <n v="1"/>
    <n v="1"/>
    <n v="1"/>
    <b v="0"/>
    <b v="0"/>
    <b v="0"/>
    <b v="0"/>
    <d v="2026-06-05T00:00:00"/>
    <n v="1"/>
    <n v="40999"/>
    <x v="1"/>
    <s v="Below 2.0"/>
  </r>
  <r>
    <s v="B09Y65HV6N"/>
    <s v="Samsung 214 cm (85 inches) 4K Ultra HD Smart Neo QLED TV QA85QN90BAKXXL (Titan Black)"/>
    <s v="Television"/>
    <n v="471990"/>
    <n v="879900"/>
    <n v="0.46400000000000002"/>
    <n v="3.6"/>
    <n v="36"/>
    <n v="1"/>
    <b v="0"/>
    <b v="0"/>
    <b v="0"/>
    <b v="0"/>
    <d v="2026-06-05T00:00:00"/>
    <n v="129.6"/>
    <n v="471990"/>
    <x v="1"/>
    <s v="3.0–3.9"/>
  </r>
  <r>
    <s v="B0FWK7W9L7"/>
    <s v="coocaa 138 cm (55 inch) Frameless UHD 4K Smart Google TV 55Y74"/>
    <s v="Television"/>
    <m/>
    <m/>
    <m/>
    <n v="4.5999999999999996"/>
    <n v="52"/>
    <n v="1"/>
    <b v="0"/>
    <b v="0"/>
    <b v="0"/>
    <b v="0"/>
    <d v="2026-06-05T00:00:00"/>
    <n v="239.2"/>
    <m/>
    <x v="3"/>
    <s v="4.5–5.0"/>
  </r>
  <r>
    <s v="B0F397D2S6"/>
    <s v="Lumio Vision 7 127 cm (50 inches) 4K Ultra-HD Smart QLED Google TV FTW2-ADSG"/>
    <s v="Television"/>
    <n v="32999"/>
    <n v="58999"/>
    <n v="0.441"/>
    <n v="4.2"/>
    <n v="1354"/>
    <n v="1"/>
    <b v="0"/>
    <b v="0"/>
    <b v="0"/>
    <b v="0"/>
    <d v="2026-06-05T00:00:00"/>
    <n v="5686.8"/>
    <n v="32999"/>
    <x v="1"/>
    <s v="4.0–4.4"/>
  </r>
  <r>
    <s v="B0GKP162R2"/>
    <s v="LG 217 cm (86 Inches) Nano 85A Series 4K UHD Smart TV 86NANO85A6A"/>
    <s v="Television"/>
    <n v="179990"/>
    <n v="399990"/>
    <n v="0.55000000000000004"/>
    <n v="1"/>
    <n v="1"/>
    <n v="1"/>
    <b v="0"/>
    <b v="0"/>
    <b v="0"/>
    <b v="0"/>
    <d v="2026-06-05T00:00:00"/>
    <n v="1"/>
    <n v="179990"/>
    <x v="1"/>
    <s v="Below 2.0"/>
  </r>
  <r>
    <s v="B0G6FBF6P6"/>
    <s v="Haier 80cm (32) W4G Series HD Ready Smart Google TV 32W4G"/>
    <s v="Television"/>
    <n v="15499"/>
    <n v="19990"/>
    <n v="0.22500000000000001"/>
    <n v="5"/>
    <n v="1"/>
    <n v="1"/>
    <b v="0"/>
    <b v="0"/>
    <b v="0"/>
    <b v="0"/>
    <d v="2026-06-05T00:00:00"/>
    <n v="5"/>
    <n v="15499"/>
    <x v="1"/>
    <s v="4.5–5.0"/>
  </r>
  <r>
    <s v="B0GP77PM6B"/>
    <s v="Haier 165 L 1 Star Direct Cool Single Door Refrigerator with Diamond Edge Freezing Technology, Easy Clean Back, Large Vegetable Box (HED-171MSA-P, Moon Silver, 2026 Model)"/>
    <s v="Refrigerator"/>
    <n v="11490"/>
    <n v="16590"/>
    <n v="0.307"/>
    <n v="3.9"/>
    <n v="150"/>
    <n v="1"/>
    <b v="0"/>
    <b v="0"/>
    <b v="0"/>
    <b v="0"/>
    <d v="2026-06-05T00:00:00"/>
    <n v="585"/>
    <n v="11490"/>
    <x v="1"/>
    <s v="3.0–3.9"/>
  </r>
  <r>
    <s v="B0GGQLB35C"/>
    <s v="Whirlpool 184 L 2 Star Direct-Cool Single Door Refrigerator (205 WDE CLS 2S SAPPHIRE BLUE-Y, Blue, 2026 Model)"/>
    <s v="Refrigerator"/>
    <n v="13640"/>
    <n v="17750"/>
    <n v="0.23200000000000001"/>
    <n v="3.8"/>
    <n v="104"/>
    <n v="1"/>
    <b v="0"/>
    <b v="0"/>
    <b v="0"/>
    <b v="0"/>
    <d v="2026-06-05T00:00:00"/>
    <n v="395.2"/>
    <n v="13640"/>
    <x v="1"/>
    <s v="3.0–3.9"/>
  </r>
  <r>
    <s v="B0GXJ9LTJ1"/>
    <s v="Godrej 180 L 2 Star| 5 Years Comprehensive Warranty | Toughened Glass Shelves | Single Door Refrigerator (2026 Model, RD EDGE 205BN THF PP BL, Pep Blue)"/>
    <s v="Refrigerator"/>
    <n v="13190"/>
    <n v="17500"/>
    <n v="0.246"/>
    <n v="4.0999999999999996"/>
    <n v="6"/>
    <n v="1"/>
    <b v="0"/>
    <b v="0"/>
    <b v="0"/>
    <b v="0"/>
    <d v="2026-06-05T00:00:00"/>
    <n v="24.599999999999998"/>
    <n v="13190"/>
    <x v="1"/>
    <s v="4.0–4.4"/>
  </r>
  <r>
    <s v="B0GSQ8N5LZ"/>
    <s v="Voltas Beko, A Tata Product 183 L, 2-Star Single Door Direct Cool Refrigerator with Fresh Box Technology (RDC215C / 2S0XER0M0000GO, Hairline Blue)"/>
    <s v="Refrigerator"/>
    <n v="12710"/>
    <n v="27990"/>
    <n v="0.54600000000000004"/>
    <n v="4.2"/>
    <n v="178"/>
    <n v="1"/>
    <b v="0"/>
    <b v="0"/>
    <b v="0"/>
    <b v="0"/>
    <d v="2026-06-05T00:00:00"/>
    <n v="747.6"/>
    <n v="12710"/>
    <x v="1"/>
    <s v="4.0–4.4"/>
  </r>
  <r>
    <s v="B0G8JTHH46"/>
    <s v="Samsung 189 L, 5 Star, Digital Inverter, Direct-Cool Single Door Refrigerator (RR21H2H25RZ/HL, Midnight Blossom Red, Base Stand Drawer, Single Touch Defrost, 2026 Model)"/>
    <s v="Refrigerator"/>
    <n v="18990"/>
    <n v="23999"/>
    <n v="0.20899999999999999"/>
    <n v="4.2"/>
    <n v="1120"/>
    <n v="1"/>
    <b v="0"/>
    <b v="0"/>
    <b v="1"/>
    <b v="0"/>
    <d v="2026-06-05T00:00:00"/>
    <n v="4704"/>
    <n v="18990"/>
    <x v="1"/>
    <s v="4.0–4.4"/>
  </r>
  <r>
    <s v="B0G8J8SKTH"/>
    <s v="Samsung 189 L, 5 Star, Digital Inverter, Direct-Cool Single Door Refrigerator (RR21H2H25CU/HL, Camellia Blue, Base Stand Drawer, Single Touch Defrost, 2026 Model)"/>
    <s v="Refrigerator"/>
    <n v="18990"/>
    <n v="23999"/>
    <n v="0.20899999999999999"/>
    <n v="4.3"/>
    <n v="1803"/>
    <n v="1"/>
    <b v="0"/>
    <b v="0"/>
    <b v="0"/>
    <b v="0"/>
    <d v="2026-06-05T00:00:00"/>
    <n v="7752.9"/>
    <n v="18990"/>
    <x v="1"/>
    <s v="4.0–4.4"/>
  </r>
  <r>
    <s v="B0GP6ZGNWT"/>
    <s v="Haier 190 L 4 Star Direct Cool Single Door Refrigerator with Fast Ice Making, Easy Clean Back, Large Vegetable Box (HED-204TMIBA-N, Marine Ivy, Base Stand Drawer, 2026 Model)"/>
    <s v="Refrigerator"/>
    <n v="15990"/>
    <n v="25590"/>
    <n v="0.375"/>
    <n v="4"/>
    <n v="69"/>
    <n v="1"/>
    <b v="0"/>
    <b v="0"/>
    <b v="0"/>
    <b v="0"/>
    <d v="2026-06-05T00:00:00"/>
    <n v="276"/>
    <n v="15990"/>
    <x v="1"/>
    <s v="4.0–4.4"/>
  </r>
  <r>
    <s v="B0GSFN886B"/>
    <s v="Godrej 185 L 4 Star Rating| 5 Years Comprehensive Warranty | Toughened Glass Shelves | 24 Day Farm Freshness| Jumbo Vegetable Tray | Single Door Refrigerator (RD 195DN TAI MN BL, Marine Blue)"/>
    <s v="Refrigerator"/>
    <n v="15690"/>
    <n v="52190"/>
    <n v="0.69899999999999995"/>
    <n v="4.0999999999999996"/>
    <n v="295"/>
    <n v="1"/>
    <b v="0"/>
    <b v="0"/>
    <b v="0"/>
    <b v="0"/>
    <d v="2026-06-05T00:00:00"/>
    <n v="1209.5"/>
    <n v="15690"/>
    <x v="1"/>
    <s v="4.0–4.4"/>
  </r>
  <r>
    <s v="B0G8JR8VNZ"/>
    <s v="Samsung 183 L, 4 Star, Digital Inverter, Direct-Cool Single Door Refrigerator (RR20H28249U/NL, Paradise Bloom Blue, Base Stand Drawer, Single Touch Defrost, 2026 Model)"/>
    <s v="Refrigerator"/>
    <n v="17590"/>
    <n v="21999"/>
    <n v="0.2"/>
    <n v="4.3"/>
    <n v="4470"/>
    <n v="1"/>
    <b v="0"/>
    <b v="0"/>
    <b v="0"/>
    <b v="0"/>
    <d v="2026-06-05T00:00:00"/>
    <n v="19221"/>
    <n v="17590"/>
    <x v="1"/>
    <s v="4.0–4.4"/>
  </r>
  <r>
    <s v="B0GS5R57KY"/>
    <s v="Godrej 183 L 3 Star 5 Years Comprehensive New Launch | Toughened Glass Shelves | 24 Day Farm Freshness | Jumbo Vegetable Tray | Single Door Refrigerator (RD R190CN THF FR BL, Floral Blue)"/>
    <s v="Refrigerator"/>
    <n v="14490"/>
    <n v="22090"/>
    <n v="0.34399999999999997"/>
    <n v="3.6"/>
    <n v="44"/>
    <n v="1"/>
    <b v="0"/>
    <b v="0"/>
    <b v="0"/>
    <b v="0"/>
    <d v="2026-06-05T00:00:00"/>
    <n v="158.4"/>
    <n v="14490"/>
    <x v="1"/>
    <s v="3.0–3.9"/>
  </r>
  <r>
    <s v="B0GP6PFXPS"/>
    <s v="Haier 100 L 2 Star Direct Cool Single Door Mini Bar Refrigerator with Chiller Freezer Box, LED Light for Clear View, Lock &amp;amp; Key and Easy Clean Back (HRD-1252KSA, Black Steel, 2026 Model)"/>
    <s v="Refrigerator"/>
    <n v="10490"/>
    <m/>
    <m/>
    <n v="3.9"/>
    <n v="451"/>
    <n v="2"/>
    <b v="0"/>
    <b v="0"/>
    <b v="0"/>
    <b v="0"/>
    <d v="2026-06-05T00:00:00"/>
    <n v="1758.8999999999999"/>
    <n v="10490"/>
    <x v="1"/>
    <s v="3.0–3.9"/>
  </r>
  <r>
    <s v="B0G8JHZJJQ"/>
    <s v="Samsung 183 L, 4 Star, Digital Inverter, Direct-Cool Single Door Refrigerator (RR20H27249R/NL, Paradise Bloom Purple, Single Touch Defrost, 2026 Model)"/>
    <s v="Refrigerator"/>
    <n v="16790"/>
    <n v="20999"/>
    <n v="0.2"/>
    <n v="4.0999999999999996"/>
    <n v="436"/>
    <n v="1"/>
    <b v="0"/>
    <b v="0"/>
    <b v="0"/>
    <b v="0"/>
    <d v="2026-06-05T00:00:00"/>
    <n v="1787.6"/>
    <n v="16790"/>
    <x v="1"/>
    <s v="4.0–4.4"/>
  </r>
  <r>
    <s v="B0DK9DSC82"/>
    <s v="Voltas Beko, A Tata Product 472 L Side by Side Frost Free Refrigerator with ProSmart Inverter Compressor (RSB495/FPV300RXID, INOX steel, Electronic Temperature Control and Display)"/>
    <s v="Refrigerator"/>
    <n v="49990"/>
    <n v="84490"/>
    <n v="0.40799999999999997"/>
    <n v="4.0999999999999996"/>
    <n v="111"/>
    <n v="1"/>
    <b v="0"/>
    <b v="0"/>
    <b v="0"/>
    <b v="0"/>
    <d v="2026-06-05T00:00:00"/>
    <n v="455.09999999999997"/>
    <n v="49990"/>
    <x v="1"/>
    <s v="4.0–4.4"/>
  </r>
  <r>
    <s v="B0G8JL17DP"/>
    <s v="Samsung 189 L, 5 Star, Digital Inverter, Direct-Cool Single Door Refrigerator (RR21H2H25WB/HL, Wild Lily Blue, Base Stand Drawer, Single Touch Defrost, 2026 Model)"/>
    <s v="Refrigerator"/>
    <n v="18990"/>
    <n v="23999"/>
    <n v="0.20899999999999999"/>
    <n v="4.4000000000000004"/>
    <n v="2342"/>
    <n v="1"/>
    <b v="0"/>
    <b v="0"/>
    <b v="0"/>
    <b v="0"/>
    <d v="2026-06-05T00:00:00"/>
    <n v="10304.800000000001"/>
    <n v="18990"/>
    <x v="1"/>
    <s v="4.0–4.4"/>
  </r>
  <r>
    <s v="B0GP6PSRT2"/>
    <s v="Haier 190 L 5 Star Direct Cool Inverter Single Door Refrigerator with Fast Ice Making, Easy Clean Back, Large Vegetable Box (HED-205DSA-P, Dazzle Steel, 2026 Model)"/>
    <s v="Refrigerator"/>
    <n v="15990"/>
    <n v="25790"/>
    <n v="0.38"/>
    <n v="4"/>
    <n v="2525"/>
    <n v="1"/>
    <b v="0"/>
    <b v="0"/>
    <b v="0"/>
    <b v="0"/>
    <d v="2026-06-05T00:00:00"/>
    <n v="10100"/>
    <n v="15990"/>
    <x v="1"/>
    <s v="4.0–4.4"/>
  </r>
  <r>
    <s v="B0D222PDZ3"/>
    <s v="Whirlpool 235 L Frost Free Triple-Door Refrigerator | Zeolite Technology | Microblock Technology(FP 253D PROTTON ROY RADIANT STEEL(Z), Up to 44% Reduction in Cold Air Loss*]"/>
    <s v="Refrigerator"/>
    <n v="29390"/>
    <n v="36000"/>
    <n v="0.184"/>
    <n v="3.9"/>
    <n v="11824"/>
    <n v="2"/>
    <b v="0"/>
    <b v="0"/>
    <b v="0"/>
    <b v="0"/>
    <d v="2026-06-05T00:00:00"/>
    <n v="46113.599999999999"/>
    <n v="29390"/>
    <x v="1"/>
    <s v="3.0–3.9"/>
  </r>
  <r>
    <s v="B0GS1X1ZVD"/>
    <s v="Haier 190 L 5 Star Direct Cool Inverter Single Door Refrigerator with Fast Ice Making, Easy Clean Back, Large Vegetable Box (HED-205TMIBA-N, Marine Ivy, Base Stand Drawer, 2026 Model)"/>
    <s v="Refrigerator"/>
    <n v="17190"/>
    <n v="27290"/>
    <n v="0.37"/>
    <n v="4.0999999999999996"/>
    <n v="707"/>
    <n v="1"/>
    <b v="0"/>
    <b v="0"/>
    <b v="0"/>
    <b v="0"/>
    <d v="2026-06-05T00:00:00"/>
    <n v="2898.7"/>
    <n v="17190"/>
    <x v="1"/>
    <s v="4.0–4.4"/>
  </r>
  <r>
    <s v="B0GGQR1722"/>
    <s v="Whirlpool 192 L 4 Star Icemagic Powercool Direct-Cool Single Door Refrigerator with Base Drawer (215 IMPC ROY 4S SAPPHIRE PEONY-Y, Blue, 2026 Model)"/>
    <s v="Refrigerator"/>
    <n v="17590"/>
    <n v="21750"/>
    <n v="0.191"/>
    <n v="3.9"/>
    <n v="50"/>
    <n v="1"/>
    <b v="0"/>
    <b v="0"/>
    <b v="0"/>
    <b v="0"/>
    <d v="2026-06-05T00:00:00"/>
    <n v="195"/>
    <n v="17590"/>
    <x v="1"/>
    <s v="3.0–3.9"/>
  </r>
  <r>
    <s v="B0CW5WNPTM"/>
    <s v="Haier 185L 2 Star Direct Cool Single Door Refrigerator | Toughened Glass Shelves | Large Veg Box | Fast Ice Making | Longer Cooling Retention | Easy Clean Back (HED-19TMS-N, Moon Silver)"/>
    <s v="Refrigerator"/>
    <n v="11990"/>
    <m/>
    <m/>
    <n v="4.3"/>
    <n v="957"/>
    <n v="1"/>
    <b v="0"/>
    <b v="0"/>
    <b v="0"/>
    <b v="0"/>
    <d v="2026-06-05T00:00:00"/>
    <n v="4115.0999999999995"/>
    <n v="11990"/>
    <x v="1"/>
    <s v="4.0–4.4"/>
  </r>
  <r>
    <s v="B0GW2Q1JV7"/>
    <s v="IFB 206L 5 Star Advanced Inverter Direct-Cool Single Door Refrigerator with 30 Hrs Cooling Retention, Big Vegetable Box, 4 Year Super Warranty &amp;amp; Base Stand (2026, IFBDC-232EYBPED, Paradise Dream Blue)"/>
    <s v="Refrigerator"/>
    <n v="20790"/>
    <n v="29300"/>
    <n v="0.28999999999999998"/>
    <n v="4.2"/>
    <n v="478"/>
    <n v="1"/>
    <b v="0"/>
    <b v="0"/>
    <b v="0"/>
    <b v="0"/>
    <d v="2026-06-05T00:00:00"/>
    <n v="2007.6000000000001"/>
    <n v="20790"/>
    <x v="1"/>
    <s v="4.0–4.4"/>
  </r>
  <r>
    <s v="B0GGPD93C1"/>
    <s v="Whirlpool 192 L 3 Star Vitamagic PRO Frost Free Direct-Cool Single Door Refrigerator (215 VMPRO PRM 3S RADIANT STEEL-Y, Silver, Auto Defrost Technology, 2026 Model)"/>
    <s v="Refrigerator"/>
    <n v="17950"/>
    <n v="21050"/>
    <n v="0.14699999999999999"/>
    <n v="4"/>
    <n v="2191"/>
    <n v="1"/>
    <b v="0"/>
    <b v="0"/>
    <b v="0"/>
    <b v="0"/>
    <d v="2026-06-05T00:00:00"/>
    <n v="8764"/>
    <n v="17950"/>
    <x v="1"/>
    <s v="4.0–4.4"/>
  </r>
  <r>
    <s v="B0GRCY68XY"/>
    <s v="LG 185 L, 4 Star, Smart Inverter, Direct Cool Single Door Refrigerator (GLD1945ZOSE, Scarlet Euphoria, Base stand with Drawer)"/>
    <s v="Refrigerator"/>
    <n v="16990"/>
    <n v="24490"/>
    <n v="0.30599999999999999"/>
    <n v="3.8"/>
    <n v="290"/>
    <n v="1"/>
    <b v="0"/>
    <b v="0"/>
    <b v="0"/>
    <b v="0"/>
    <d v="2026-06-05T00:00:00"/>
    <n v="1102"/>
    <n v="16990"/>
    <x v="1"/>
    <s v="3.0–3.9"/>
  </r>
  <r>
    <s v="B0GWF11XZW"/>
    <s v="IFB 187L 4 Star Advanced Inverter Direct-Cool Single Door Refrigerator with 30 Hrs Cooling Retention, Big Vegetable Box, 4 Year Super Warranty &amp;amp; Base Stand (2026, IFBDC-213DYBPED,Paradise Dream Blue)"/>
    <s v="Refrigerator"/>
    <n v="17690"/>
    <n v="24500"/>
    <n v="0.27800000000000002"/>
    <m/>
    <n v="0"/>
    <n v="1"/>
    <b v="0"/>
    <b v="0"/>
    <b v="0"/>
    <b v="0"/>
    <d v="2026-06-05T00:00:00"/>
    <s v=""/>
    <n v="17690"/>
    <x v="1"/>
    <s v="Not Rated"/>
  </r>
  <r>
    <s v="B0G8JZHV2S"/>
    <s v="Samsung 330 L, 3 Star, Convertible 5-in-1, Digital Inverter, Frost Free Double Door, WiFi Bespoke AI Refrigerator (RT34HG5A23BXHL, Luxe Black, 2026 Model)"/>
    <s v="Refrigerator"/>
    <n v="43990"/>
    <n v="51999"/>
    <n v="0.154"/>
    <n v="4"/>
    <n v="34"/>
    <n v="1"/>
    <b v="0"/>
    <b v="0"/>
    <b v="0"/>
    <b v="0"/>
    <d v="2026-06-05T00:00:00"/>
    <n v="136"/>
    <n v="43990"/>
    <x v="1"/>
    <s v="4.0–4.4"/>
  </r>
  <r>
    <s v="B0G8JRG8LT"/>
    <s v="Samsung 236 L, 3 Star, Convertible, Digital Inverter Frost Free Double Door Refrigerator (RT40H28U3THL, Silver, Refined Inox, 2026 Model)"/>
    <s v="Refrigerator"/>
    <n v="28990"/>
    <n v="35999"/>
    <n v="0.19500000000000001"/>
    <n v="3.7"/>
    <n v="137"/>
    <n v="1"/>
    <b v="0"/>
    <b v="0"/>
    <b v="0"/>
    <b v="0"/>
    <d v="2026-06-05T00:00:00"/>
    <n v="506.90000000000003"/>
    <n v="28990"/>
    <x v="1"/>
    <s v="3.0–3.9"/>
  </r>
  <r>
    <s v="B0G8JXNCB1"/>
    <s v="Samsung 189 L, 4 Star, Digital Inverter, Direct-Cool Single Door Refrigerator (RR21H2G24S8/HL, Silver, Elegant Inox, Single Touch Defrost, 2026 Model)"/>
    <s v="Refrigerator"/>
    <n v="16890"/>
    <m/>
    <m/>
    <n v="4.0999999999999996"/>
    <n v="658"/>
    <n v="1"/>
    <b v="0"/>
    <b v="0"/>
    <b v="0"/>
    <b v="0"/>
    <d v="2026-06-05T00:00:00"/>
    <n v="2697.7999999999997"/>
    <n v="16890"/>
    <x v="1"/>
    <s v="4.0–4.4"/>
  </r>
  <r>
    <s v="B0GW2YHFCX"/>
    <s v="IFB 197L 5 Star Advanced Inverter Direct-Cool Single Door Refrigerator with 30 Hrs Cooling Retention, XL Bottle Bin, Big Vegetable Box &amp;amp; 4 Year Super Warranty (2026, IFBDC-223EYBSE, Brush Grey)"/>
    <s v="Refrigerator"/>
    <n v="17990"/>
    <n v="24700"/>
    <n v="0.27200000000000002"/>
    <n v="4.2"/>
    <n v="1372"/>
    <n v="1"/>
    <b v="0"/>
    <b v="0"/>
    <b v="0"/>
    <b v="0"/>
    <d v="2026-06-05T00:00:00"/>
    <n v="5762.4000000000005"/>
    <n v="17990"/>
    <x v="1"/>
    <s v="4.0–4.4"/>
  </r>
  <r>
    <s v="B0GK7YXSK1"/>
    <s v="Godrej 223L 2 Star 5 Years Comprehensive New Launch | 95%+ Food Surface Disinfection Uniform 360Â° Cooling Inverter Frost Free Double Door Refrigerator (RF EON 244BN RI STEEL GLOW Steel Glow)"/>
    <s v="Refrigerator"/>
    <n v="22740"/>
    <m/>
    <m/>
    <n v="4"/>
    <n v="91"/>
    <n v="2"/>
    <b v="0"/>
    <b v="0"/>
    <b v="0"/>
    <b v="0"/>
    <d v="2026-06-05T00:00:00"/>
    <n v="364"/>
    <n v="22740"/>
    <x v="1"/>
    <s v="4.0–4.4"/>
  </r>
  <r>
    <s v="B0GL7M6KT4"/>
    <s v="LG 43 L 3 Star Direct Cool Minibar Single Door Refrigerator (GLD0536VRSW, Super White)"/>
    <s v="Refrigerator"/>
    <n v="11990"/>
    <n v="12990"/>
    <n v="7.6999999999999999E-2"/>
    <n v="4.4000000000000004"/>
    <n v="13"/>
    <n v="1"/>
    <b v="0"/>
    <b v="0"/>
    <b v="0"/>
    <b v="0"/>
    <d v="2026-06-05T00:00:00"/>
    <n v="57.2"/>
    <n v="11990"/>
    <x v="1"/>
    <s v="4.0–4.4"/>
  </r>
  <r>
    <s v="B0GRW157R2"/>
    <s v="LG 185 L, 5 Star, Smart Inverter, Direct Cool Single Door Refrigerator (GLD1956ZAPI, Purple Ilan, Fit Max Chiller Tray, Base stand with Drawer &amp;amp; Runs on Home Inverter)"/>
    <s v="Refrigerator"/>
    <n v="18490"/>
    <n v="26290"/>
    <n v="0.29699999999999999"/>
    <n v="3.7"/>
    <n v="13"/>
    <n v="1"/>
    <b v="0"/>
    <b v="0"/>
    <b v="0"/>
    <b v="0"/>
    <d v="2026-06-05T00:00:00"/>
    <n v="48.1"/>
    <n v="18490"/>
    <x v="1"/>
    <s v="3.0–3.9"/>
  </r>
  <r>
    <s v="B0GP6T4T83"/>
    <s v="Haier 240 L 2 Star Frost Free Twin Inverter Double Door Refrigerator with Cool Pad for Extended Freezer Cooling &amp;amp; Spacious Fresh Zone (HEF-252EGSA-P, Moon Silver, 2026 Model)"/>
    <s v="Refrigerator"/>
    <n v="23090"/>
    <n v="35890"/>
    <n v="0.35699999999999998"/>
    <n v="3.2"/>
    <n v="37"/>
    <n v="1"/>
    <b v="0"/>
    <b v="0"/>
    <b v="0"/>
    <b v="0"/>
    <d v="2026-06-05T00:00:00"/>
    <n v="118.4"/>
    <n v="23090"/>
    <x v="1"/>
    <s v="3.0–3.9"/>
  </r>
  <r>
    <s v="B0G8JSRB87"/>
    <s v="Samsung 189 L, 5 Star, Digital Inverter, Direct-Cool Single Door Refrigerator (RR21H2H25UZ/HL, Midnight Blossom Blue, Base Stand Drawer, Single Touch Defrost, 2026 Model)"/>
    <s v="Refrigerator"/>
    <n v="18990"/>
    <n v="23999"/>
    <n v="0.20899999999999999"/>
    <n v="4.2"/>
    <n v="1120"/>
    <n v="1"/>
    <b v="0"/>
    <b v="0"/>
    <b v="0"/>
    <b v="0"/>
    <d v="2026-06-05T00:00:00"/>
    <n v="4704"/>
    <n v="18990"/>
    <x v="1"/>
    <s v="4.0–4.4"/>
  </r>
  <r>
    <s v="B0GPCZBHPH"/>
    <s v="LG 251 L, 1 Star, Frost-Free Smart Inverter Double Door Refrigerator with Smart Mode (GLT2516WWPZ, Shiny Steel, Multi Air Flow Cooling with Max Fresh Zone, 2026 Model)"/>
    <s v="Refrigerator"/>
    <n v="25990"/>
    <n v="36990"/>
    <n v="0.29699999999999999"/>
    <n v="3.9"/>
    <n v="26"/>
    <n v="1"/>
    <b v="0"/>
    <b v="0"/>
    <b v="0"/>
    <b v="0"/>
    <d v="2026-06-05T00:00:00"/>
    <n v="101.39999999999999"/>
    <n v="25990"/>
    <x v="1"/>
    <s v="3.0–3.9"/>
  </r>
  <r>
    <s v="B0GL2M7N7Z"/>
    <s v="Godrej 185 L 5 Star 5 Years Comprehensive Warrant |Turbo Cooling Technology| Toughened Glass Shelves | Direct Cool Single Door Refrigerator (2026 Model, RD 195EN TAI MY WN, Mystic Wine)"/>
    <s v="Refrigerator"/>
    <n v="16990"/>
    <n v="26490"/>
    <n v="0.35899999999999999"/>
    <n v="4.0999999999999996"/>
    <n v="2290"/>
    <n v="1"/>
    <b v="0"/>
    <b v="0"/>
    <b v="0"/>
    <b v="0"/>
    <d v="2026-06-05T00:00:00"/>
    <n v="9389"/>
    <n v="16990"/>
    <x v="1"/>
    <s v="4.0–4.4"/>
  </r>
  <r>
    <s v="B092QNXXNH"/>
    <s v="TOSHIBA 650 L Frost Free Inverter 4-Door Refrigerator (GR-RF646WE-PGI, Classy Blue Glass Door Finish, Futuristic Plasma + Pure Technology) (GR-RF646WE-PGI(24))"/>
    <s v="Refrigerator"/>
    <n v="134890"/>
    <n v="149990"/>
    <n v="0.10100000000000001"/>
    <n v="3.6"/>
    <n v="13"/>
    <n v="1"/>
    <b v="0"/>
    <b v="0"/>
    <b v="0"/>
    <b v="0"/>
    <d v="2026-06-05T00:00:00"/>
    <n v="46.800000000000004"/>
    <n v="134890"/>
    <x v="1"/>
    <s v="3.0–3.9"/>
  </r>
  <r>
    <s v="B0F4WVW7D9"/>
    <s v="Midea 560 L Side by Side Refrigerator, Inverter Compressor, Multi Air Flow Cooling, Water Dispenser (Frost Free, Energy Efficient, Large Capacity, Bru-Steel Finish)"/>
    <s v="Refrigerator"/>
    <n v="44999"/>
    <n v="110990"/>
    <n v="0.59499999999999997"/>
    <n v="4.0999999999999996"/>
    <n v="415"/>
    <n v="1"/>
    <b v="0"/>
    <b v="0"/>
    <b v="0"/>
    <b v="0"/>
    <d v="2026-06-05T00:00:00"/>
    <n v="1701.4999999999998"/>
    <n v="44999"/>
    <x v="1"/>
    <s v="4.0–4.4"/>
  </r>
  <r>
    <s v="B0GXJKFPSF"/>
    <s v="Godrej 185 L 4 Star Single Door Refrigerator with Turbo Cooling Technology, Toughened Glass Shelves &amp;amp; 5 Years Warranty (RD 195DN TAI MY BL, Mystic Blue)"/>
    <s v="Refrigerator"/>
    <n v="15690"/>
    <n v="24490"/>
    <n v="0.35899999999999999"/>
    <n v="5"/>
    <n v="1"/>
    <n v="1"/>
    <b v="0"/>
    <b v="0"/>
    <b v="0"/>
    <b v="0"/>
    <d v="2026-06-05T00:00:00"/>
    <n v="5"/>
    <n v="15690"/>
    <x v="1"/>
    <s v="4.5–5.0"/>
  </r>
  <r>
    <s v="B0G8JJD3CM"/>
    <s v="Samsung 223 L, 3 Star, Digital Inverter, Direct-Cool Single Door Refrigerator (RR24H2823UZ/NL, Midnight Blossom Blue, Base Stand Drawer, Single Touch Defrost, 2026 Model)"/>
    <s v="Refrigerator"/>
    <n v="20490"/>
    <n v="25999"/>
    <n v="0.21199999999999999"/>
    <n v="3.7"/>
    <n v="30"/>
    <n v="1"/>
    <b v="0"/>
    <b v="0"/>
    <b v="0"/>
    <b v="0"/>
    <d v="2026-06-05T00:00:00"/>
    <n v="111"/>
    <n v="20490"/>
    <x v="1"/>
    <s v="3.0–3.9"/>
  </r>
  <r>
    <s v="B0DFCVM72W"/>
    <s v="Samsung 396 L, 3 Star, Convertible 5-in-1, Digital Inverter, Frost Free Double Door, Bespoke AI WiFi Enabled Refrigerator (RT41DG6A4DB1HL, Black Matte/Black DOI)"/>
    <s v="Refrigerator"/>
    <n v="45099"/>
    <m/>
    <m/>
    <n v="4.0999999999999996"/>
    <n v="1193"/>
    <n v="3"/>
    <b v="0"/>
    <b v="0"/>
    <b v="0"/>
    <b v="0"/>
    <d v="2026-06-05T00:00:00"/>
    <n v="4891.2999999999993"/>
    <n v="45099"/>
    <x v="1"/>
    <s v="4.0–4.4"/>
  </r>
  <r>
    <s v="B0G4S5HZ9R"/>
    <s v="SHARP 50L 2 Star Mini Direct Cool Single Door Refrigerator |Japan 7 Shield Protection|Toughened Glass shelves (Metal Silver, SJ-MRW055N3-PSS)"/>
    <s v="Refrigerator"/>
    <n v="9490"/>
    <n v="10500"/>
    <n v="9.6000000000000002E-2"/>
    <n v="4.0999999999999996"/>
    <n v="136"/>
    <n v="1"/>
    <b v="0"/>
    <b v="0"/>
    <b v="0"/>
    <b v="0"/>
    <d v="2026-06-05T00:00:00"/>
    <n v="557.59999999999991"/>
    <n v="9490"/>
    <x v="0"/>
    <s v="4.0–4.4"/>
  </r>
  <r>
    <s v="B0G8JRCJ3N"/>
    <s v="Samsung 301 L, 2 Star, Convertible 5-in-1 Digital Inverter with Display Frost Free Double Door Refrigerator (RT31H4522S9/HL, Silver, Refined Inox, 2026 Model)"/>
    <s v="Refrigerator"/>
    <n v="36990"/>
    <n v="44999"/>
    <n v="0.17799999999999999"/>
    <n v="4.2"/>
    <n v="288"/>
    <n v="1"/>
    <b v="0"/>
    <b v="0"/>
    <b v="0"/>
    <b v="0"/>
    <d v="2026-06-05T00:00:00"/>
    <n v="1209.6000000000001"/>
    <n v="36990"/>
    <x v="1"/>
    <s v="4.0–4.4"/>
  </r>
  <r>
    <s v="B0GW8PT5TC"/>
    <s v="LG 276 L, 2 Star, Smart Inverter, Smart &amp;amp; Dairy Mode, Frost-Free Double Door Convertible Refrigerator (GLT2826XWOB, Onyx Black, Multi Air Flow, Fresh Zone &amp;amp; Deodorizer, 2026 Model)"/>
    <s v="Refrigerator"/>
    <n v="32990"/>
    <n v="46990"/>
    <n v="0.29799999999999999"/>
    <m/>
    <n v="0"/>
    <n v="1"/>
    <b v="0"/>
    <b v="0"/>
    <b v="0"/>
    <b v="0"/>
    <d v="2026-06-05T00:00:00"/>
    <s v=""/>
    <n v="32990"/>
    <x v="1"/>
    <s v="Not Rated"/>
  </r>
  <r>
    <s v="B093Q1SLL4"/>
    <s v="Samsung 550 L, Convertible, Digital Inverter, Frost Free French Door Refrigerator (RF57A5032S9/TL, Silver, Refined Inox)"/>
    <s v="Refrigerator"/>
    <n v="67990"/>
    <n v="87990"/>
    <n v="0.22700000000000001"/>
    <n v="4.0999999999999996"/>
    <n v="675"/>
    <n v="1"/>
    <b v="0"/>
    <b v="0"/>
    <b v="0"/>
    <b v="0"/>
    <d v="2026-06-05T00:00:00"/>
    <n v="2767.4999999999995"/>
    <n v="67990"/>
    <x v="1"/>
    <s v="4.0–4.4"/>
  </r>
  <r>
    <s v="B0GK87BDTR"/>
    <s v="Godrej 223 L 3 Star 5 Years Comprehensive New Launch Convertible Freezer 6-In-1, 30 Days Farm Freshness, Inverter Double Door Refrigerator (2026 Model, RF EON 244CN RCIF ST RH, Steel Rush)"/>
    <s v="Refrigerator"/>
    <n v="23890"/>
    <n v="23990"/>
    <n v="4.0000000000000001E-3"/>
    <n v="3.5"/>
    <n v="38"/>
    <n v="1"/>
    <b v="0"/>
    <b v="0"/>
    <b v="0"/>
    <b v="0"/>
    <d v="2026-06-05T00:00:00"/>
    <n v="133"/>
    <n v="23890"/>
    <x v="1"/>
    <s v="3.0–3.9"/>
  </r>
  <r>
    <s v="B0GP6YPGPC"/>
    <s v="Haier 325 L 2 Star Frost Free Triple Inverter Double Door Bottom Mount Refrigerator, Digital Touch Display &amp;amp; 2X Bigger Fresh Storage (HEB-332GBA-P, GE Black, 14 In 1 Convertible Modes, 2026 Model)"/>
    <s v="Refrigerator"/>
    <n v="37890"/>
    <n v="59690"/>
    <n v="0.36499999999999999"/>
    <n v="4"/>
    <n v="1921"/>
    <n v="1"/>
    <b v="0"/>
    <b v="0"/>
    <b v="0"/>
    <b v="0"/>
    <d v="2026-06-05T00:00:00"/>
    <n v="7684"/>
    <n v="37890"/>
    <x v="1"/>
    <s v="4.0–4.4"/>
  </r>
  <r>
    <s v="B0CCJQ6449"/>
    <s v="Midea 233 L 2 Star Frost Free Convertible, Real Inverter Double Door Refrigerator (MDRT359FGI50, Crystal Silver)"/>
    <s v="Refrigerator"/>
    <n v="18990"/>
    <m/>
    <m/>
    <n v="4.0999999999999996"/>
    <n v="110"/>
    <n v="1"/>
    <b v="0"/>
    <b v="0"/>
    <b v="0"/>
    <b v="0"/>
    <d v="2026-06-05T00:00:00"/>
    <n v="450.99999999999994"/>
    <n v="18990"/>
    <x v="1"/>
    <s v="4.0–4.4"/>
  </r>
  <r>
    <s v="B0GMQBMGGN"/>
    <s v="LG 322 L, 2 Star, Convertible, Smart Inverter, Frost Free Double Door Refrigerator (GLT3226SNDS, Dazzle Steel, Express Freeze &amp;amp; Multi Air Flow)"/>
    <s v="Refrigerator"/>
    <n v="41490"/>
    <n v="56490"/>
    <n v="0.26600000000000001"/>
    <n v="2.5"/>
    <n v="7"/>
    <n v="1"/>
    <b v="0"/>
    <b v="0"/>
    <b v="0"/>
    <b v="0"/>
    <d v="2026-06-05T00:00:00"/>
    <n v="17.5"/>
    <n v="41490"/>
    <x v="1"/>
    <s v="2.0–2.9"/>
  </r>
  <r>
    <s v="B09CDRVKDP"/>
    <s v="Samsung 550 L Inverter Frost-Free French Door Refrigerator (RF57A5032B1/TL, Black DOI, Convertible), Real Stainless, Convertible"/>
    <s v="Refrigerator"/>
    <n v="85990"/>
    <n v="108990"/>
    <n v="0.21099999999999999"/>
    <n v="4.0999999999999996"/>
    <n v="28"/>
    <n v="1"/>
    <b v="0"/>
    <b v="0"/>
    <b v="0"/>
    <b v="0"/>
    <d v="2026-06-05T00:00:00"/>
    <n v="114.79999999999998"/>
    <n v="85990"/>
    <x v="1"/>
    <s v="4.0–4.4"/>
  </r>
  <r>
    <s v="B0DV43D663"/>
    <s v="VW 7.5 kg 5 Star Aqua Spin Semi Automatic Top Load Washing Machine AquaSpin0075P (Black)"/>
    <s v="Washing Machine"/>
    <n v="7490"/>
    <n v="18999"/>
    <n v="0.60599999999999998"/>
    <n v="4.2"/>
    <n v="1722"/>
    <n v="1"/>
    <b v="0"/>
    <b v="0"/>
    <b v="0"/>
    <b v="0"/>
    <d v="2026-06-05T00:00:00"/>
    <n v="7232.4000000000005"/>
    <n v="7490"/>
    <x v="0"/>
    <s v="4.0–4.4"/>
  </r>
  <r>
    <s v="B0CC8P3J3L"/>
    <s v="Haier 6 kg 5 Star Oceanus Wave Drum Washing Machine Fully Automatic Top Load (HWM60-AE, Moonlight Silver)"/>
    <s v="Washing Machine"/>
    <n v="13790"/>
    <n v="18490"/>
    <n v="0.254"/>
    <n v="4.3"/>
    <n v="2069"/>
    <n v="1"/>
    <b v="0"/>
    <b v="0"/>
    <b v="1"/>
    <b v="0"/>
    <d v="2026-06-05T00:00:00"/>
    <n v="8896.6999999999989"/>
    <n v="13790"/>
    <x v="1"/>
    <s v="4.0–4.4"/>
  </r>
  <r>
    <s v="B0GVRK9Y7Y"/>
    <s v="Midea 7 Kg 5 Star Fully Automatic Front Load Washing Machine with Inverter Motor, Self Clean Drum Technology, 15 Wash Programs (MFG17W70B/T-IND, Titanium Grey)"/>
    <s v="Washing Machine"/>
    <n v="20490"/>
    <n v="44990"/>
    <n v="0.54500000000000004"/>
    <n v="5"/>
    <n v="2"/>
    <n v="1"/>
    <b v="0"/>
    <b v="0"/>
    <b v="0"/>
    <b v="0"/>
    <d v="2026-06-05T00:00:00"/>
    <n v="10"/>
    <n v="20490"/>
    <x v="1"/>
    <s v="4.5–5.0"/>
  </r>
  <r>
    <s v="B0DSBRDRDV"/>
    <s v="Whirlpool 7 kg Magic Clean 5 Star Fully Automatic Top Load Washing Machine Grey (MAGIC CLEAN 7.0 GENX GREY 5YMW)"/>
    <s v="Washing Machine"/>
    <n v="16740"/>
    <n v="19550"/>
    <n v="0.14399999999999999"/>
    <n v="4"/>
    <n v="13937"/>
    <n v="1"/>
    <b v="0"/>
    <b v="0"/>
    <b v="0"/>
    <b v="0"/>
    <d v="2026-06-05T00:00:00"/>
    <n v="55748"/>
    <n v="16740"/>
    <x v="1"/>
    <s v="4.0–4.4"/>
  </r>
  <r>
    <s v="B09DD573SY"/>
    <s v="LG 7 Kg 5 Star Wind Jet Dry Semi-Automatic Top Loading Washing Machine (P7020NGAZ, Dark Gray, Rat Away Feature)"/>
    <s v="Washing Machine"/>
    <n v="11990"/>
    <n v="16090"/>
    <n v="0.255"/>
    <n v="4.4000000000000004"/>
    <n v="8258"/>
    <n v="1"/>
    <b v="0"/>
    <b v="0"/>
    <b v="0"/>
    <b v="0"/>
    <d v="2026-06-05T00:00:00"/>
    <n v="36335.200000000004"/>
    <n v="11990"/>
    <x v="1"/>
    <s v="4.0–4.4"/>
  </r>
  <r>
    <s v="B09T6NX8W2"/>
    <s v="Samsung 6.5 kg, 5 star, Semi-Automatic Top Load Washing Machine (WT65R2200LL/TL, Air Turbo Drying, LIGHT GRAY, 5 Year Warranty on Wash Motor)"/>
    <s v="Washing Machine"/>
    <n v="9990"/>
    <n v="12500"/>
    <n v="0.20100000000000001"/>
    <n v="3.9"/>
    <n v="1653"/>
    <n v="1"/>
    <b v="0"/>
    <b v="0"/>
    <b v="0"/>
    <b v="0"/>
    <d v="2026-06-05T00:00:00"/>
    <n v="6446.7"/>
    <n v="9990"/>
    <x v="0"/>
    <s v="3.0–3.9"/>
  </r>
  <r>
    <s v="B0CW93ZCB6"/>
    <s v="Voltas Beko, A Tata Product 6.5 Kg 5 Star Semi-Automatic Top Loading Washing Machine (WTT65UNX/OK3I0I0W01, Blue, Pulsator wash technology)"/>
    <s v="Washing Machine"/>
    <n v="8590"/>
    <n v="12500"/>
    <n v="0.313"/>
    <n v="4"/>
    <n v="768"/>
    <n v="1"/>
    <b v="0"/>
    <b v="0"/>
    <b v="0"/>
    <b v="0"/>
    <d v="2026-06-05T00:00:00"/>
    <n v="3072"/>
    <n v="8590"/>
    <x v="0"/>
    <s v="4.0–4.4"/>
  </r>
  <r>
    <s v="B0GTML5HR7"/>
    <s v="Midea 7.5 Kg 5 Star Fully Automatic Top Load Washing Machine, Spiral Stream Tub, Dual Waterfall, 6 Petal Pulsator, Magic Filter (MWMTL075FP0PNMB, Auto Restart, Mid Black)"/>
    <s v="Washing Machine"/>
    <n v="11790"/>
    <n v="19990"/>
    <n v="0.41"/>
    <n v="4.5"/>
    <n v="2"/>
    <n v="1"/>
    <b v="0"/>
    <b v="0"/>
    <b v="0"/>
    <b v="0"/>
    <d v="2026-06-05T00:00:00"/>
    <n v="9"/>
    <n v="11790"/>
    <x v="1"/>
    <s v="4.5–5.0"/>
  </r>
  <r>
    <s v="B0B8NHX62W"/>
    <s v="Samsung 7 kg, 5 Star, Eco Bubble Technology, Digital Inverter Motor, Soft Closing Door, Fully-Automatic Top Load Washing Machine (WA70BG4441YYTL, Lavender Gray)"/>
    <s v="Washing Machine"/>
    <n v="18690"/>
    <n v="22500"/>
    <n v="0.16900000000000001"/>
    <n v="4.0999999999999996"/>
    <n v="5698"/>
    <n v="1"/>
    <b v="0"/>
    <b v="0"/>
    <b v="0"/>
    <b v="0"/>
    <d v="2026-06-05T00:00:00"/>
    <n v="23361.8"/>
    <n v="18690"/>
    <x v="1"/>
    <s v="4.0–4.4"/>
  </r>
  <r>
    <s v="B0FHPZLTDL"/>
    <s v="Whirlpool 7.5 Kg 5 Star StainWash Magic Clean PRO Fully Automatic Top Load Washing Machine (MAGIC CLEAN PRO SW 7.5 (H) GREY 10YMW with In-Built Heater)"/>
    <s v="Washing Machine"/>
    <n v="18640"/>
    <n v="23250"/>
    <n v="0.19800000000000001"/>
    <n v="4"/>
    <n v="13248"/>
    <n v="1"/>
    <b v="0"/>
    <b v="0"/>
    <b v="0"/>
    <b v="0"/>
    <d v="2026-06-05T00:00:00"/>
    <n v="52992"/>
    <n v="18640"/>
    <x v="1"/>
    <s v="4.0–4.4"/>
  </r>
  <r>
    <s v="B0BD8ZPFJQ"/>
    <s v="LG 8.5 kg 5 Star Semi-Automatic Top Load Washing Machine (P8530SRAZ, Burgundy, Roller Jet Pulsator)"/>
    <s v="Washing Machine"/>
    <n v="15490"/>
    <n v="19990"/>
    <n v="0.22500000000000001"/>
    <n v="4.3"/>
    <n v="1601"/>
    <n v="1"/>
    <b v="0"/>
    <b v="0"/>
    <b v="0"/>
    <b v="0"/>
    <d v="2026-06-05T00:00:00"/>
    <n v="6884.2999999999993"/>
    <n v="15490"/>
    <x v="1"/>
    <s v="4.0–4.4"/>
  </r>
  <r>
    <s v="B0C8BDB9WZ"/>
    <s v="Haier 7 Kg 5 Star Semi Automatic Top Load Washing Machine with Anti Bacterial Cross Pulsator and Spray Function (HTW70-1187BTN, Anti Rat Mesh, Magic Filter, Castors, Burgundy)"/>
    <s v="Washing Machine"/>
    <n v="9890"/>
    <n v="15500"/>
    <n v="0.36199999999999999"/>
    <n v="4.0999999999999996"/>
    <n v="950"/>
    <n v="1"/>
    <b v="0"/>
    <b v="0"/>
    <b v="0"/>
    <b v="0"/>
    <d v="2026-06-05T00:00:00"/>
    <n v="3894.9999999999995"/>
    <n v="9890"/>
    <x v="0"/>
    <s v="4.0–4.4"/>
  </r>
  <r>
    <s v="B0DPHT2HZL"/>
    <s v="LG 7 Kg 5 Star Smart Inverter Technology Fully Automatic Top Load Washing Machine (T70VBMB1Z, Auto Prewash, Turbodrum, Stainless Steel drum, LED Display, Smart Diagnosis Middle Black)"/>
    <s v="Washing Machine"/>
    <n v="19990"/>
    <m/>
    <m/>
    <n v="4.2"/>
    <n v="2271"/>
    <n v="1"/>
    <b v="0"/>
    <b v="0"/>
    <b v="0"/>
    <b v="0"/>
    <d v="2026-06-05T00:00:00"/>
    <n v="9538.2000000000007"/>
    <n v="19990"/>
    <x v="1"/>
    <s v="4.0–4.4"/>
  </r>
  <r>
    <s v="B0GRGB5XSK"/>
    <s v="Samsung 8 Kg, 5 Star, Hygiene Steam, Ecobubble, Quick Wash, Soft Closing Door, Digital Inverter, Fully-Automatic Top Load Washing Machine (WA40F08H2CTL, In-Built Heater, Stainwash, Deep Charcoal)"/>
    <s v="Washing Machine"/>
    <n v="23990"/>
    <n v="30990"/>
    <n v="0.22600000000000001"/>
    <n v="4.4000000000000004"/>
    <n v="25177"/>
    <n v="1"/>
    <b v="0"/>
    <b v="0"/>
    <b v="0"/>
    <b v="0"/>
    <d v="2026-06-05T00:00:00"/>
    <n v="110778.8"/>
    <n v="23990"/>
    <x v="1"/>
    <s v="4.0–4.4"/>
  </r>
  <r>
    <s v="B09T6NH99B"/>
    <s v="Samsung 7 kg, 5 star, Semi Automatic Top Load Washing Machine (WT70M3000UU/TL, Air Turbo Drying, LIGHT GRAY, 5 Year Warranty on Wash Motor)"/>
    <s v="Washing Machine"/>
    <n v="11490"/>
    <n v="14150"/>
    <n v="0.188"/>
    <n v="4.3"/>
    <n v="7194"/>
    <n v="1"/>
    <b v="0"/>
    <b v="0"/>
    <b v="0"/>
    <b v="0"/>
    <d v="2026-06-05T00:00:00"/>
    <n v="30934.199999999997"/>
    <n v="11490"/>
    <x v="1"/>
    <s v="4.0–4.4"/>
  </r>
  <r>
    <s v="B0B8NK5HTH"/>
    <s v="Samsung Smart Choice 8 kg, 5 star, Eco Bubble Tech, Digital Inverter Motor, Soft Closing Door, Fully-Automatic Top Load Washing Machine (WA80BG4441BGTL, Light Gray)"/>
    <s v="Washing Machine"/>
    <n v="20690"/>
    <n v="27000"/>
    <n v="0.23400000000000001"/>
    <n v="4"/>
    <n v="4639"/>
    <n v="1"/>
    <b v="0"/>
    <b v="0"/>
    <b v="0"/>
    <b v="0"/>
    <d v="2026-06-05T00:00:00"/>
    <n v="18556"/>
    <n v="20690"/>
    <x v="1"/>
    <s v="4.0–4.4"/>
  </r>
  <r>
    <s v="B0D8L9RCK7"/>
    <s v="IFB 8 Kg 5 Star with Deep CleanÂ® Technology, AI Powered, Fully Automatic Top Load Washing Machine (TL801MG1, ActivMix, Aqua Energie, Med Grey)"/>
    <s v="Washing Machine"/>
    <n v="19490"/>
    <n v="25290"/>
    <n v="0.22900000000000001"/>
    <n v="4"/>
    <n v="2324"/>
    <n v="1"/>
    <b v="0"/>
    <b v="0"/>
    <b v="0"/>
    <b v="0"/>
    <d v="2026-06-05T00:00:00"/>
    <n v="9296"/>
    <n v="19490"/>
    <x v="1"/>
    <s v="4.0–4.4"/>
  </r>
  <r>
    <s v="B0F4QQVV1L"/>
    <s v="LG Smart Choice, 7 Kg, 5 Star, Steam, Inverter Direct Drive Technology, 6 Motion DD, Fully-Automatic Front Load Washing Machine (FHB1207Z2W, Remove Allergens &amp;amp; Stain, In-Built Heater, Essence White)"/>
    <s v="Washing Machine"/>
    <n v="27490"/>
    <n v="42490"/>
    <n v="0.35299999999999998"/>
    <n v="4.3"/>
    <n v="655"/>
    <n v="1"/>
    <b v="0"/>
    <b v="0"/>
    <b v="0"/>
    <b v="0"/>
    <d v="2026-06-05T00:00:00"/>
    <n v="2816.5"/>
    <n v="27490"/>
    <x v="1"/>
    <s v="4.0–4.4"/>
  </r>
  <r>
    <s v="B0DXQ5MQCF"/>
    <s v="Ionstar 7.5 Kg Semi Automatic Washing Machine - 5 Star Rated - 2025 - Top Load - Jet Pulsator - Magic Filter - Special Air Dryer - Buzzer - Wheels - Powerful Copper Motor - 1500 RPM (STAR75-AQUA-G)"/>
    <s v="Washing Machine"/>
    <n v="7590"/>
    <n v="18990"/>
    <n v="0.6"/>
    <n v="4.4000000000000004"/>
    <n v="215"/>
    <n v="1"/>
    <b v="0"/>
    <b v="0"/>
    <b v="0"/>
    <b v="0"/>
    <d v="2026-06-05T00:00:00"/>
    <n v="946.00000000000011"/>
    <n v="7590"/>
    <x v="0"/>
    <s v="4.0–4.4"/>
  </r>
  <r>
    <s v="B0DGLLG6FR"/>
    <s v="Whirlpool 7.0 Kg 5 Star MAGIC CLEAN Semi-Automatic Top Loading Washing Machine (MAGIC CLEAN RYL SRS 7.0 GREY DAZZLE (5YR), 4 Year Comprehensive Warranty, 1400 RPM Motor, 5 Year Motor Warranty)"/>
    <s v="Washing Machine"/>
    <n v="10990"/>
    <n v="13550"/>
    <n v="0.189"/>
    <n v="4.3"/>
    <n v="12638"/>
    <n v="1"/>
    <b v="0"/>
    <b v="0"/>
    <b v="0"/>
    <b v="0"/>
    <d v="2026-06-05T00:00:00"/>
    <n v="54343.399999999994"/>
    <n v="10990"/>
    <x v="1"/>
    <s v="4.0–4.4"/>
  </r>
  <r>
    <s v="B0G4H669DY"/>
    <s v="VW V8 TurboWash 8 Kg 5 Star Fully-Automatic Top Loading Washing Machine (Grey)"/>
    <s v="Washing Machine"/>
    <n v="10990"/>
    <n v="34999"/>
    <n v="0.68600000000000005"/>
    <n v="3.8"/>
    <n v="91"/>
    <n v="1"/>
    <b v="0"/>
    <b v="0"/>
    <b v="0"/>
    <b v="0"/>
    <d v="2026-06-05T00:00:00"/>
    <n v="345.8"/>
    <n v="10990"/>
    <x v="1"/>
    <s v="3.0–3.9"/>
  </r>
  <r>
    <s v="B0GCNSBMR3"/>
    <s v="Bosch 7 kg 5 Star Fully Automatic Top Loading Washing Machine (WOE70AH0IN, PowerWave Wash &amp;amp; in-built Dual Lint Filter, Stainless Steel VarioDrum with 5 fin Pulsator, Water Save, Eco Wash, Med Grey)"/>
    <s v="Washing Machine"/>
    <n v="17990"/>
    <n v="24490"/>
    <n v="0.26500000000000001"/>
    <n v="4.2"/>
    <n v="2129"/>
    <n v="1"/>
    <b v="0"/>
    <b v="0"/>
    <b v="0"/>
    <b v="0"/>
    <d v="2026-06-05T00:00:00"/>
    <n v="8941.8000000000011"/>
    <n v="17990"/>
    <x v="1"/>
    <s v="4.0–4.4"/>
  </r>
  <r>
    <s v="B0C3LHV43S"/>
    <s v="LG Smart Choice, 9 Kg, 5 Star, AI Direct Drive Technology, Steam, 6 Motion DD &amp;amp; Wi-Fi Fully-Automatic Front Load Washing Machine (FHP1209Z5M, Intelligent &amp;amp; Convenient Fabric Care, Middle Black)"/>
    <s v="Washing Machine"/>
    <n v="41990"/>
    <n v="53990"/>
    <n v="0.222"/>
    <n v="4.3"/>
    <n v="1961"/>
    <n v="1"/>
    <b v="0"/>
    <b v="0"/>
    <b v="0"/>
    <b v="0"/>
    <d v="2026-06-05T00:00:00"/>
    <n v="8432.2999999999993"/>
    <n v="41990"/>
    <x v="1"/>
    <s v="4.0–4.4"/>
  </r>
  <r>
    <s v="B0CW3K1TZL"/>
    <s v="Voltas Beko, A Tata Product 6.5 Kg 5 Star Fully-Automatic Top Loading Washing Machine (WTL6504UEA/OBS2P10 Eco-Series,Dark Grey, Pulsator wash and Double waterfall technology)"/>
    <s v="Washing Machine"/>
    <n v="12990"/>
    <n v="23990"/>
    <n v="0.45900000000000002"/>
    <n v="4"/>
    <n v="434"/>
    <n v="1"/>
    <b v="0"/>
    <b v="0"/>
    <b v="0"/>
    <b v="0"/>
    <d v="2026-06-05T00:00:00"/>
    <n v="1736"/>
    <n v="12990"/>
    <x v="1"/>
    <s v="4.0–4.4"/>
  </r>
  <r>
    <s v="B0F4K415FW"/>
    <s v="Bosch 8 kg 5 Star Front Load Fully-Automatic Washing Machine, AI ActiveWater, 15 Wash Programs, Removes 99.9% Germs with Steam, No Tangle or Wrinkle,White, WAJ28260IN"/>
    <s v="Washing Machine"/>
    <n v="29990"/>
    <n v="48190"/>
    <n v="0.378"/>
    <n v="4.2"/>
    <n v="2364"/>
    <n v="1"/>
    <b v="0"/>
    <b v="0"/>
    <b v="0"/>
    <b v="0"/>
    <d v="2026-06-05T00:00:00"/>
    <n v="9928.8000000000011"/>
    <n v="29990"/>
    <x v="1"/>
    <s v="4.0–4.4"/>
  </r>
  <r>
    <s v="B0C9M1ZM5S"/>
    <s v="Voltas Beko, Top Load 7 Kg 5 Star Eco Wash/Monsoon Dry Fully-Automatic Washing Machine (WTL70, Water Reuse, Side Waterfall, Mansoon Dry, Dark Grey)"/>
    <s v="Washing Machine"/>
    <n v="15390"/>
    <n v="27990"/>
    <n v="0.45"/>
    <n v="4"/>
    <n v="749"/>
    <n v="1"/>
    <b v="0"/>
    <b v="0"/>
    <b v="0"/>
    <b v="0"/>
    <d v="2026-06-05T00:00:00"/>
    <n v="2996"/>
    <n v="15390"/>
    <x v="1"/>
    <s v="4.0–4.4"/>
  </r>
  <r>
    <s v="B0F3DBMCBQ"/>
    <s v="Godrej Smart Choice 7 Kg 5 Star, 5 Years Comprehensive Warranty, AI Tech, Fills Tub At ~0 Water Pressure, Fully-Automatic Top Load Washing Machine (WTEON ALP 70 5.0 FDUN GPGR, Graphite Grey)"/>
    <s v="Washing Machine"/>
    <n v="15389"/>
    <n v="27300"/>
    <n v="0.436"/>
    <n v="4"/>
    <n v="543"/>
    <n v="1"/>
    <b v="0"/>
    <b v="0"/>
    <b v="0"/>
    <b v="0"/>
    <d v="2026-06-05T00:00:00"/>
    <n v="2172"/>
    <n v="15389"/>
    <x v="1"/>
    <s v="4.0–4.4"/>
  </r>
  <r>
    <s v="B0DCVZWYJV"/>
    <s v="Voltas Beko, A Tata Product 11 Kg 5 Star Fully-Automatic Top Loading Washing Machine (WTL1106UEA / OBS1060, Grey, Double Waterfall Technology)"/>
    <s v="Washing Machine"/>
    <n v="22490"/>
    <n v="45990"/>
    <n v="0.51100000000000001"/>
    <n v="4"/>
    <n v="158"/>
    <n v="1"/>
    <b v="0"/>
    <b v="0"/>
    <b v="0"/>
    <b v="0"/>
    <d v="2026-06-05T00:00:00"/>
    <n v="632"/>
    <n v="22490"/>
    <x v="1"/>
    <s v="4.0–4.4"/>
  </r>
  <r>
    <s v="B0F2SLWGJW"/>
    <s v="Samsung 8 Kg, 5 Star, AI Wash, AI Energy Mode, Wi-Fi, Ecobubble, AI VRT+, Super Speed, Soft Closing Door, Digital Inverter, Fully-Automatic Top Load Washing Machine (WA80F08S2LTL, Lavender Gray)"/>
    <s v="Washing Machine"/>
    <n v="21990"/>
    <n v="30990"/>
    <n v="0.28999999999999998"/>
    <n v="4"/>
    <n v="1630"/>
    <n v="1"/>
    <b v="0"/>
    <b v="0"/>
    <b v="0"/>
    <b v="0"/>
    <d v="2026-06-05T00:00:00"/>
    <n v="6520"/>
    <n v="21990"/>
    <x v="1"/>
    <s v="4.0–4.4"/>
  </r>
  <r>
    <s v="B0DDTR73C1"/>
    <s v="Whirlpool 6.5 Kg 5 Star Magic Clean Semi-Automatic Top Loading Washing Machine (MAGIC CLEAN 6.5 GREY, 4 Year Comprehensive Warranty, 1400 RPM Motor, 5 Year Motor Warranty)"/>
    <s v="Washing Machine"/>
    <n v="10490"/>
    <n v="13550"/>
    <n v="0.22600000000000001"/>
    <n v="4.2"/>
    <n v="437"/>
    <n v="1"/>
    <b v="0"/>
    <b v="0"/>
    <b v="0"/>
    <b v="0"/>
    <d v="2026-06-05T00:00:00"/>
    <n v="1835.4"/>
    <n v="10490"/>
    <x v="1"/>
    <s v="4.0–4.4"/>
  </r>
  <r>
    <s v="B0GCNFRRL8"/>
    <s v="Bosch 8 kg 5 Star Fully Automatic Top Loading Washing Machine (WOE80AH0IN, PowerWave Wash &amp;amp; in-built Dual Lint Filter, Stainless Steel VarioDrum with 5 fin Pulsator, Water Save, Eco Wash, Dark Grey)"/>
    <s v="Washing Machine"/>
    <n v="19490"/>
    <n v="26490"/>
    <n v="0.26400000000000001"/>
    <n v="4.0999999999999996"/>
    <n v="527"/>
    <n v="1"/>
    <b v="0"/>
    <b v="0"/>
    <b v="0"/>
    <b v="0"/>
    <d v="2026-06-05T00:00:00"/>
    <n v="2160.6999999999998"/>
    <n v="19490"/>
    <x v="1"/>
    <s v="4.0–4.4"/>
  </r>
  <r>
    <s v="B0D95VC9WT"/>
    <s v="Voltas Beko, A Tata Product 9 Kg 5 Star Semi-Automatic Top Loading Washing Machine (WTT90UHA/OK5B1B1S23, Black, Pulsator Wash Method and Double waterfall technology)"/>
    <s v="Washing Machine"/>
    <n v="13499"/>
    <n v="17990"/>
    <n v="0.25"/>
    <n v="4.0999999999999996"/>
    <n v="289"/>
    <n v="1"/>
    <b v="0"/>
    <b v="0"/>
    <b v="0"/>
    <b v="0"/>
    <d v="2026-06-05T00:00:00"/>
    <n v="1184.8999999999999"/>
    <n v="13499"/>
    <x v="1"/>
    <s v="4.0–4.4"/>
  </r>
  <r>
    <s v="B0F2TFK5YN"/>
    <s v="Voltas Beko, A Tata Product 8 kg 5 Star Fully-Automatic Top Loading Washing Machine (WTL8006UEA / OBS1060, Grey, Double Waterfall Technology)"/>
    <s v="Washing Machine"/>
    <n v="17640"/>
    <n v="40990"/>
    <n v="0.56999999999999995"/>
    <n v="4"/>
    <n v="89"/>
    <n v="1"/>
    <b v="0"/>
    <b v="0"/>
    <b v="0"/>
    <b v="0"/>
    <d v="2026-06-05T00:00:00"/>
    <n v="356"/>
    <n v="17640"/>
    <x v="1"/>
    <s v="4.0–4.4"/>
  </r>
  <r>
    <s v="B0DFLWDPV4"/>
    <s v="IFB 7 Kg 5 Star, DeepCleanÂ® Technology, AI Powered, WiFi, Fully Automatic Front Load Washing Machine (SERENA SXN 7012 CMS, PowerSteamÂ®, 9 Swirl, Steam Refresh, Inbuilt Heater, Eco Inverter,Rich Silver)"/>
    <s v="Washing Machine"/>
    <n v="30490"/>
    <n v="37090"/>
    <n v="0.17799999999999999"/>
    <n v="4.5"/>
    <n v="1289"/>
    <n v="1"/>
    <b v="0"/>
    <b v="0"/>
    <b v="0"/>
    <b v="0"/>
    <d v="2026-06-05T00:00:00"/>
    <n v="5800.5"/>
    <n v="30490"/>
    <x v="1"/>
    <s v="4.5–5.0"/>
  </r>
  <r>
    <s v="B0FLRRMMX3"/>
    <s v="VW 8 kg 5 Star Super Wash Semi Automatic Top Load Washing Machine SuperWash0080P (White &amp;amp; Burgundy)"/>
    <s v="Washing Machine"/>
    <n v="8099"/>
    <n v="19999"/>
    <n v="0.59499999999999997"/>
    <n v="4.3"/>
    <n v="465"/>
    <n v="1"/>
    <b v="0"/>
    <b v="0"/>
    <b v="0"/>
    <b v="0"/>
    <d v="2026-06-05T00:00:00"/>
    <n v="1999.5"/>
    <n v="8099"/>
    <x v="0"/>
    <s v="4.0–4.4"/>
  </r>
  <r>
    <s v="B0DRYMKCW4"/>
    <s v="Samsung 9 kg, 5 star, AI EcoBubble, Super Speed, Wi-Fi, Hygiene Steam with Inbuilt Heater, Digital Inverter, Fully-Automatic Front Load Washing Machine (WW90DG5U24AXTL, Inox)"/>
    <s v="Washing Machine"/>
    <n v="40490"/>
    <n v="50990"/>
    <n v="0.20599999999999999"/>
    <n v="4.2"/>
    <n v="630"/>
    <n v="1"/>
    <b v="0"/>
    <b v="0"/>
    <b v="0"/>
    <b v="0"/>
    <d v="2026-06-05T00:00:00"/>
    <n v="2646"/>
    <n v="40490"/>
    <x v="1"/>
    <s v="4.0–4.4"/>
  </r>
  <r>
    <s v="B0F8QV7RCR"/>
    <s v="IFB 9 Kg 5 Star, DeepCleanÂ® Technology, AI Powered, WiFi, Fully Automatic Front Load Washing Machine (EXECUTIVE MXN 9014K CMS, PowerSteamÂ®, 9 Swirl, Steam Refresh, Inbuilt Heater, Eco Inverter, Mocha)"/>
    <s v="Washing Machine"/>
    <n v="39990"/>
    <n v="48490"/>
    <n v="0.17499999999999999"/>
    <n v="4.5999999999999996"/>
    <n v="519"/>
    <n v="1"/>
    <b v="0"/>
    <b v="0"/>
    <b v="0"/>
    <b v="0"/>
    <d v="2026-06-05T00:00:00"/>
    <n v="2387.3999999999996"/>
    <n v="39990"/>
    <x v="1"/>
    <s v="4.5–5.0"/>
  </r>
  <r>
    <s v="B0BWN5V717"/>
    <s v="Samsung 7.5 Kg Inverter 5 Star Semi Automatic Top Load Washing Machine (WT75B3200RR/TL, Light Grey &amp;amp; Red Base, Air turbo drying, 5 Year Warranty on Wash Motor)"/>
    <s v="Washing Machine"/>
    <n v="13000"/>
    <n v="15800"/>
    <n v="0.17699999999999999"/>
    <n v="4.0999999999999996"/>
    <n v="2878"/>
    <n v="1"/>
    <b v="0"/>
    <b v="0"/>
    <b v="0"/>
    <b v="0"/>
    <d v="2026-06-05T00:00:00"/>
    <n v="11799.8"/>
    <n v="13000"/>
    <x v="1"/>
    <s v="4.0–4.4"/>
  </r>
  <r>
    <s v="B0DFLWL16S"/>
    <s v="IFB 6.5 Kg 5 Star, DeepCleanÂ® Technology, AI Powered, Fully Automatic Front Load Washing Machine (ELENA GXN 6510, PowerSteamÂ®, 9 Swirl, Steam Refresh, Inbuilt Heater, Eco Inverter, Grey)"/>
    <s v="Washing Machine"/>
    <n v="28990"/>
    <n v="35990"/>
    <n v="0.19400000000000001"/>
    <n v="4.2"/>
    <n v="632"/>
    <n v="1"/>
    <b v="0"/>
    <b v="0"/>
    <b v="0"/>
    <b v="0"/>
    <d v="2026-06-05T00:00:00"/>
    <n v="2654.4"/>
    <n v="28990"/>
    <x v="1"/>
    <s v="4.0–4.4"/>
  </r>
  <r>
    <s v="B0F2S2YTKP"/>
    <s v="Samsung Smart Choice 10 Kg, 5 Star, AI Wash, AI Energy Mode, Wi-Fi, Ecobubble, AI VRT+, Soft Closing Door, Digital Inverter, Fully-Automatic Top Load Washing Machine (WA80F10E2LTL, Lavender Gray)"/>
    <s v="Washing Machine"/>
    <n v="25990"/>
    <n v="33990"/>
    <n v="0.23499999999999999"/>
    <n v="4.2"/>
    <n v="9559"/>
    <n v="1"/>
    <b v="0"/>
    <b v="0"/>
    <b v="0"/>
    <b v="0"/>
    <d v="2026-06-05T00:00:00"/>
    <n v="40147.800000000003"/>
    <n v="25990"/>
    <x v="1"/>
    <s v="4.0–4.4"/>
  </r>
  <r>
    <s v="B0GCYNHN99"/>
    <s v="Whirlpool 8 kg Magic Clean 5 Star Fully Automatic Top Load Washing Machine Grey (MAGIC CLEAN ELT 8.0 GREY 10YMW, Hard Water Wash)"/>
    <s v="Washing Machine"/>
    <n v="18690"/>
    <n v="21950"/>
    <n v="0.14899999999999999"/>
    <n v="4"/>
    <n v="1832"/>
    <n v="1"/>
    <b v="0"/>
    <b v="0"/>
    <b v="0"/>
    <b v="0"/>
    <d v="2026-06-05T00:00:00"/>
    <n v="7328"/>
    <n v="18690"/>
    <x v="1"/>
    <s v="4.0–4.4"/>
  </r>
  <r>
    <s v="B0D2QWCCC2"/>
    <s v="Godrej 7 Kg 5 Star, AI Powered, FabriSafe Drum, 65% Water Saving, Fully Automatic Front Load Washing Machine (WFEON CRS 7010 5.0 FKEDM GLWH, Glacial White)"/>
    <s v="Washing Machine"/>
    <n v="21490"/>
    <n v="46500"/>
    <n v="0.53800000000000003"/>
    <n v="3.7"/>
    <n v="175"/>
    <n v="1"/>
    <b v="0"/>
    <b v="0"/>
    <b v="0"/>
    <b v="0"/>
    <d v="2026-06-05T00:00:00"/>
    <n v="647.5"/>
    <n v="21490"/>
    <x v="1"/>
    <s v="3.0–3.9"/>
  </r>
  <r>
    <s v="B09FHRY2RF"/>
    <s v="LG 11 Kg 5 Star Wind Jet Dry Rat Away Technology Semi-Automatic Top Loading Washing Machine (P1155SKAZ, Roller Jet Pulsator, Punch + 3, Middle Black)"/>
    <s v="Washing Machine"/>
    <n v="18990"/>
    <n v="26490"/>
    <n v="0.28299999999999997"/>
    <n v="4.4000000000000004"/>
    <n v="1504"/>
    <n v="1"/>
    <b v="0"/>
    <b v="0"/>
    <b v="0"/>
    <b v="0"/>
    <d v="2026-06-05T00:00:00"/>
    <n v="6617.6"/>
    <n v="18990"/>
    <x v="1"/>
    <s v="4.0–4.4"/>
  </r>
  <r>
    <s v="B0CVQJR1XL"/>
    <s v="Samsung 10.5 kg, 5 star, Semi-Automatic Top Load Washing Machine (WT10C4260GG/TL, Air Turbo Drying, Light Gray,)"/>
    <s v="Washing Machine"/>
    <n v="16100"/>
    <n v="20490"/>
    <n v="0.214"/>
    <n v="4.3"/>
    <n v="1097"/>
    <n v="1"/>
    <b v="0"/>
    <b v="0"/>
    <b v="0"/>
    <b v="0"/>
    <d v="2026-06-05T00:00:00"/>
    <n v="4717.0999999999995"/>
    <n v="16100"/>
    <x v="1"/>
    <s v="4.0–4.4"/>
  </r>
  <r>
    <s v="B08ZJHJ5DJ"/>
    <s v="Haier 7 Kg, Oceanus Wave Drum, 15 Min Quick Wash, Magic Filter, 8 Wash Programs, Fully Automatic Top Load Washing Machine (HWM70-AE | Moonlight Silver)"/>
    <s v="Washing Machine"/>
    <n v="15590"/>
    <n v="15990"/>
    <n v="2.5000000000000001E-2"/>
    <n v="4"/>
    <n v="817"/>
    <n v="1"/>
    <b v="0"/>
    <b v="0"/>
    <b v="0"/>
    <b v="0"/>
    <d v="2026-06-05T00:00:00"/>
    <n v="3268"/>
    <n v="15590"/>
    <x v="1"/>
    <s v="4.0–4.4"/>
  </r>
  <r>
    <s v="B0BV2RJV1B"/>
    <s v="Samsung 9.5 Kg, 5 Star, Semi-Automatic Top Load Washing Machine (WT95A4260GD/TL, Air Turbo Drying, Dark Gray, 5 Year Warranty on Wash Motor)"/>
    <s v="Washing Machine"/>
    <n v="15790"/>
    <n v="20400"/>
    <n v="0.22600000000000001"/>
    <n v="4.3"/>
    <n v="2536"/>
    <n v="1"/>
    <b v="0"/>
    <b v="0"/>
    <b v="0"/>
    <b v="0"/>
    <d v="2026-06-05T00:00:00"/>
    <n v="10904.8"/>
    <n v="15790"/>
    <x v="1"/>
    <s v="4.0–4.4"/>
  </r>
  <r>
    <s v="B0D8HX97BY"/>
    <s v="IFB 9Kg 5 Star with Deep Clean Oxyjet Technology, AI Powered, Wi-Fi, Fully Automatic Front Load Washing Machine (EXECUTIVE MSC 9014 SSL, Steam Refresh Program with Eco Inverter, Metallic Silver)"/>
    <s v="Washing Machine"/>
    <n v="44899"/>
    <m/>
    <m/>
    <n v="4.5"/>
    <n v="1963"/>
    <n v="2"/>
    <b v="0"/>
    <b v="0"/>
    <b v="0"/>
    <b v="0"/>
    <d v="2026-06-05T00:00:00"/>
    <n v="8833.5"/>
    <n v="44899"/>
    <x v="1"/>
    <s v="4.5–5.0"/>
  </r>
  <r>
    <s v="B0F43WXDG9"/>
    <s v="Whirlpool 10 Kg 5 Star MAGIC CLEAN BW PRO Heater Fully Automatic Top Load Washing Machine (MAGIC CLEAN BW PRO H 10 KG Mn GREY 10YMW with In-Built Heater, 2025)"/>
    <s v="Washing Machine"/>
    <n v="26950"/>
    <n v="35500"/>
    <n v="0.24099999999999999"/>
    <n v="4"/>
    <n v="2892"/>
    <n v="1"/>
    <b v="0"/>
    <b v="0"/>
    <b v="0"/>
    <b v="0"/>
    <d v="2026-06-05T00:00:00"/>
    <n v="11568"/>
    <n v="26950"/>
    <x v="1"/>
    <s v="4.0–4.4"/>
  </r>
  <r>
    <s v="B0GMD5NPX6"/>
    <s v="Godrej 1.5 Ton 3 Star Inverter Split AC with 5-in-1 Convertible Cooling| 5 Year Comprehensive Warranty| AI Powered| Heavy Duty Cooling at 52Â°C| Self Clean Technology (AC 1.5T EC HIC 18Q3TH WA)"/>
    <s v="Air Conditioner"/>
    <n v="32950"/>
    <n v="45300"/>
    <n v="0.27300000000000002"/>
    <n v="3.1"/>
    <n v="55"/>
    <n v="4"/>
    <b v="0"/>
    <b v="0"/>
    <b v="0"/>
    <b v="0"/>
    <d v="2026-06-05T00:00:00"/>
    <n v="170.5"/>
    <n v="32950"/>
    <x v="1"/>
    <s v="3.0–3.9"/>
  </r>
  <r>
    <s v="B0GN37XP19"/>
    <s v="Cruise 1 Ton 3 Star, New Star rated, Inverter Split AC with 7-Stage Air Filtration (Copper, Convertible 4-in-1, Fast Cooling at 48 Â°C, PM 2.5 Filter, Anti-Rust Tech, CWCVBM-VQ1D123,White)"/>
    <s v="Air Conditioner"/>
    <n v="26990"/>
    <n v="43900"/>
    <n v="0.38500000000000001"/>
    <n v="4.0999999999999996"/>
    <n v="174"/>
    <n v="1"/>
    <b v="0"/>
    <b v="0"/>
    <b v="0"/>
    <b v="0"/>
    <d v="2026-06-05T00:00:00"/>
    <n v="713.4"/>
    <n v="26990"/>
    <x v="1"/>
    <s v="4.0–4.4"/>
  </r>
  <r>
    <s v="B0H2Z54Y5T"/>
    <s v="Godrej 1.5 Ton 3 Star Inverter Split Smart AC (2026 Model, HIC 18Z3TG VA IOT4, Copper Condenser, 4-Way Swing, Wi-Fi Voice &amp;amp; App Control, i-Sense Technology, White)"/>
    <s v="Air Conditioner"/>
    <n v="34999"/>
    <m/>
    <m/>
    <m/>
    <n v="0"/>
    <n v="1"/>
    <b v="0"/>
    <b v="0"/>
    <b v="0"/>
    <b v="0"/>
    <d v="2026-06-05T00:00:00"/>
    <s v=""/>
    <n v="34999"/>
    <x v="1"/>
    <s v="Not Rated"/>
  </r>
  <r>
    <s v="B0GHFS8GMH"/>
    <s v="Cruise 1.5 Ton 3 Star,New Star rated, Inverter Split AC with 7-Stage Air Filtration (Copper, Convertible 4-in-1, Fast Cooling, PM 2.5 Filter, Anti-Rust Tech, New BEE Rated, CWCVBM-VQ3D173, White)"/>
    <s v="Air Conditioner"/>
    <n v="29990"/>
    <n v="47900"/>
    <n v="0.374"/>
    <n v="3.7"/>
    <n v="171"/>
    <n v="1"/>
    <b v="0"/>
    <b v="0"/>
    <b v="0"/>
    <b v="0"/>
    <d v="2026-06-05T00:00:00"/>
    <n v="632.70000000000005"/>
    <n v="29990"/>
    <x v="1"/>
    <s v="3.0–3.9"/>
  </r>
  <r>
    <s v="B0CWVDXYX1"/>
    <s v="Voltas 183V Vectra CAW 1.5 ton 3 star,New star rated, inverter Split AC|4-IN-1 Adjustable mode|High ambient Cooling-cools even at 52Â°C|Anti dust filter with Anti-microbial coating|Copper Coil| White"/>
    <s v="Air Conditioner"/>
    <n v="31490"/>
    <n v="62990"/>
    <n v="0.5"/>
    <n v="3.5"/>
    <n v="2493"/>
    <n v="1"/>
    <b v="0"/>
    <b v="0"/>
    <b v="0"/>
    <b v="0"/>
    <d v="2026-06-05T00:00:00"/>
    <n v="8725.5"/>
    <n v="31490"/>
    <x v="1"/>
    <s v="3.0–3.9"/>
  </r>
  <r>
    <s v="B0GHQVN35Z"/>
    <s v="Whirlpool 1.5 Ton 3 Star, New star rated, Magicool Inverter Split AC (MAGICOOL 15T 3S INV CNV S6K2PP0, Copper, Convertible 4-in-1 Cooling Mode, HD Filter White)"/>
    <s v="Air Conditioner"/>
    <n v="32490"/>
    <n v="57150"/>
    <n v="0.43099999999999999"/>
    <n v="3.1"/>
    <n v="112"/>
    <n v="2"/>
    <b v="0"/>
    <b v="0"/>
    <b v="0"/>
    <b v="0"/>
    <d v="2026-06-05T00:00:00"/>
    <n v="347.2"/>
    <n v="32490"/>
    <x v="1"/>
    <s v="3.0–3.9"/>
  </r>
  <r>
    <s v="B0GSJV6XTF"/>
    <s v="IFB 1 Ton 3 Star,New star rated, AI Powered Inverter Split AC,Hybrid Mode, 8in1 Flexi Mode, Heavy Duty Compressor, Long Air Throw, Self Clean, Dual Gold Fins, 100% Copper, CI133SL11RGM3, white"/>
    <s v="Air Conditioner"/>
    <n v="30980"/>
    <n v="50990"/>
    <n v="0.39200000000000002"/>
    <n v="4.2"/>
    <n v="101"/>
    <n v="4"/>
    <b v="0"/>
    <b v="0"/>
    <b v="0"/>
    <b v="0"/>
    <d v="2026-06-05T00:00:00"/>
    <n v="424.20000000000005"/>
    <n v="30980"/>
    <x v="1"/>
    <s v="4.0–4.4"/>
  </r>
  <r>
    <s v="B0F2J56GZR"/>
    <s v="Blue Star 1 Ton 3 Star,Inverter Split AC (Copper, Convertible 5 in 1 Cooling, DigiQ Hepta Sensor,Blue Fins, Self Diagnosis, IE312PNU, White)"/>
    <s v="Air Conditioner"/>
    <n v="39700"/>
    <m/>
    <m/>
    <n v="4.3"/>
    <n v="135"/>
    <n v="1"/>
    <b v="0"/>
    <b v="0"/>
    <b v="0"/>
    <b v="0"/>
    <d v="2026-06-05T00:00:00"/>
    <n v="580.5"/>
    <n v="39700"/>
    <x v="1"/>
    <s v="4.0–4.4"/>
  </r>
  <r>
    <s v="B0GVJ3PXPG"/>
    <s v="IFB 1.5 Ton 5Star,New star rated,AI Powered Inverter Split Air Conditioner with Inbuilt WiFi,Hybrid Mode, 8in1 Flexi Mode,Heavy Duty Compressor,Self Clean,100% Copper Tubes,CI195SS32SGM3, White"/>
    <s v="Air Conditioner"/>
    <n v="42490"/>
    <n v="76490"/>
    <n v="0.44500000000000001"/>
    <n v="4.3"/>
    <n v="264"/>
    <n v="1"/>
    <b v="0"/>
    <b v="0"/>
    <b v="1"/>
    <b v="0"/>
    <d v="2026-06-05T00:00:00"/>
    <n v="1135.2"/>
    <n v="42490"/>
    <x v="1"/>
    <s v="4.0–4.4"/>
  </r>
  <r>
    <s v="B0D184ZZDL"/>
    <s v="Lloyd 1 Ton 3 Star Inverter Split AC (5 in 1 Convertible, Cools Up To 52Â°C, Smart 4 Way Air Swing, Turbo Cool, Installation Check, 100% Copper, White with Silver Deco Strip, GLS12I3FWSEA)"/>
    <s v="Air Conditioner"/>
    <n v="28990"/>
    <m/>
    <m/>
    <n v="3.2"/>
    <n v="143"/>
    <n v="1"/>
    <b v="0"/>
    <b v="0"/>
    <b v="0"/>
    <b v="0"/>
    <d v="2026-06-05T00:00:00"/>
    <n v="457.6"/>
    <n v="28990"/>
    <x v="1"/>
    <s v="3.0–3.9"/>
  </r>
  <r>
    <s v="B0GX6XHZ3S"/>
    <s v="GENERAL 1 Ton BEE 2026 3 Star Rated, Inverter Split AC (Copper, 3580W, Powerful Cooling, 10m Long Reach Airflow, 55Â°C Max, Suitable for 120~150 Sft, ASGG12CPWA-B, White, Free Standard Installation)"/>
    <s v="Air Conditioner"/>
    <n v="39390"/>
    <n v="44400"/>
    <n v="0.113"/>
    <n v="4.3"/>
    <n v="9"/>
    <n v="1"/>
    <b v="0"/>
    <b v="0"/>
    <b v="0"/>
    <b v="0"/>
    <d v="2026-06-05T00:00:00"/>
    <n v="38.699999999999996"/>
    <n v="39390"/>
    <x v="1"/>
    <s v="4.0–4.4"/>
  </r>
  <r>
    <s v="B0DQTBQV3C"/>
    <s v="Hitachi 1.5 Ton 3 Star Xpandable+ Inverter Split AC (100% Copper, 4-Way Swing, ice Clean, Dust Filter, 3400SXL RAS.D318PCCIBS, White)"/>
    <s v="Air Conditioner"/>
    <n v="34880"/>
    <n v="63850"/>
    <n v="0.45400000000000001"/>
    <n v="3.9"/>
    <n v="1203"/>
    <n v="5"/>
    <b v="0"/>
    <b v="0"/>
    <b v="0"/>
    <b v="0"/>
    <d v="2026-06-05T00:00:00"/>
    <n v="4691.7"/>
    <n v="34880"/>
    <x v="1"/>
    <s v="3.0–3.9"/>
  </r>
  <r>
    <s v="B0GVJ3WB54"/>
    <s v="IFB 1.5 Ton 3 Star, New star rated,AI Powered Inverter Split AC,Inbuilt WiFi, Hybrid Mode, 8-in-1 Flexi Mode, Heavy Duty Compressor, Long Air Throw, Self Clean, 100% Copper,CI183SS22SGM3, White"/>
    <s v="Air Conditioner"/>
    <n v="36300"/>
    <n v="61490"/>
    <n v="0.41"/>
    <n v="4.3"/>
    <n v="32"/>
    <n v="1"/>
    <b v="0"/>
    <b v="0"/>
    <b v="0"/>
    <b v="0"/>
    <d v="2026-06-05T00:00:00"/>
    <n v="137.6"/>
    <n v="36300"/>
    <x v="1"/>
    <s v="4.0–4.4"/>
  </r>
  <r>
    <s v="B0GP6S6S5F"/>
    <s v="Hitachi 1 Ton 5 Star, New Star rated, Inverter Split AC (Copper, Smart View Display, ice Clean, 4 Way Swing, Anti-Bacterial Filter,RAS.V512PCDIBT, White)"/>
    <s v="Air Conditioner"/>
    <n v="36999"/>
    <n v="65990"/>
    <n v="0.439"/>
    <n v="3.8"/>
    <n v="52"/>
    <n v="1"/>
    <b v="0"/>
    <b v="0"/>
    <b v="0"/>
    <b v="0"/>
    <d v="2026-06-05T00:00:00"/>
    <n v="197.6"/>
    <n v="36999"/>
    <x v="1"/>
    <s v="3.0–3.9"/>
  </r>
  <r>
    <s v="B0GSZWGHM3"/>
    <s v="Voltas 1.5 ton 5 Star Inverter Window AC (Copper, 2-in-1 Cooling Modes, Anti-Dust Filter, 2-Way Swing, Memory Restart, Sleep Mode (185INV ELITE, White)"/>
    <s v="Air Conditioner"/>
    <n v="34990"/>
    <n v="47990"/>
    <n v="0.27100000000000002"/>
    <n v="3.6"/>
    <n v="42"/>
    <n v="1"/>
    <b v="0"/>
    <b v="0"/>
    <b v="0"/>
    <b v="0"/>
    <d v="2026-06-05T00:00:00"/>
    <n v="151.20000000000002"/>
    <n v="34990"/>
    <x v="1"/>
    <s v="3.0–3.9"/>
  </r>
  <r>
    <s v="B0GWMMD2DT"/>
    <s v="LG 1.5 Ton 5 Star,New star rated, Smart Inverter Split AC (Copper, AI Convertible 6in1,VIRAAT Mode, Faster Cooling &amp;amp; Energy Saving, 4 Way Swing, HD Filter, AS-Q19YNZE1,White)"/>
    <s v="Air Conditioner"/>
    <n v="48490"/>
    <n v="83290"/>
    <n v="0.41799999999999998"/>
    <n v="4.0999999999999996"/>
    <n v="788"/>
    <n v="1"/>
    <b v="0"/>
    <b v="0"/>
    <b v="0"/>
    <b v="0"/>
    <d v="2026-06-05T00:00:00"/>
    <n v="3230.7999999999997"/>
    <n v="48490"/>
    <x v="1"/>
    <s v="4.0–4.4"/>
  </r>
  <r>
    <s v="B0GMDS7CY7"/>
    <s v="Godrej 1 Ton 5 Star, New Star rated, 5 Years Comprehensive Warranty, AI Powered, 5in1 Convertible Cooling, Inverter Split AC (Copper,Heavy-Duty Cooling at 52Â° C, AC 1.0T EC HIC 12J5TG WA,White)"/>
    <s v="Air Conditioner"/>
    <n v="33989"/>
    <n v="49090"/>
    <n v="0.308"/>
    <n v="3.9"/>
    <n v="607"/>
    <n v="1"/>
    <b v="0"/>
    <b v="0"/>
    <b v="0"/>
    <b v="0"/>
    <d v="2026-06-05T00:00:00"/>
    <n v="2367.2999999999997"/>
    <n v="33989"/>
    <x v="1"/>
    <s v="3.0–3.9"/>
  </r>
  <r>
    <s v="B0GXWCJ7JQ"/>
    <s v="Voltas 1 ton 3 Star Split AC|Auto Clean|Sleep mode (123INV VECTRA EMERALD)"/>
    <s v="Air Conditioner"/>
    <n v="31490"/>
    <n v="32400"/>
    <n v="2.8000000000000001E-2"/>
    <n v="4"/>
    <n v="1"/>
    <n v="1"/>
    <b v="0"/>
    <b v="0"/>
    <b v="0"/>
    <b v="0"/>
    <d v="2026-06-05T00:00:00"/>
    <n v="4"/>
    <n v="31490"/>
    <x v="1"/>
    <s v="4.0–4.4"/>
  </r>
  <r>
    <s v="B0GQ4VYGH7"/>
    <s v="VELURA Ductless Mini Split Air Conditioner with Remote for Apartment Office Bedroom|1 Mini Split Air Conditioner Home &amp;amp; Garden"/>
    <s v="Air Conditioner"/>
    <n v="6735"/>
    <n v="12796"/>
    <n v="0.47399999999999998"/>
    <n v="2.5"/>
    <n v="3"/>
    <n v="2"/>
    <b v="0"/>
    <b v="0"/>
    <b v="0"/>
    <b v="0"/>
    <d v="2026-06-05T00:00:00"/>
    <n v="7.5"/>
    <n v="6735"/>
    <x v="0"/>
    <s v="2.0–2.9"/>
  </r>
  <r>
    <s v="B0GN1PXL63"/>
    <s v="Godrej 1.5 Ton 3 Star, New star rated,5 Years Comprehensive Warranty,AI Powered, 5 in1 Convertible Cooling, Inverter Split AC (Copper, Heavy Duty Cooling at 52Â°C, AC 1.5T SIC 18NTC3 WZE 3S,White)"/>
    <s v="Air Conditioner"/>
    <n v="31990"/>
    <m/>
    <m/>
    <n v="3.5"/>
    <n v="146"/>
    <n v="1"/>
    <b v="0"/>
    <b v="0"/>
    <b v="0"/>
    <b v="0"/>
    <d v="2026-06-05T00:00:00"/>
    <n v="511"/>
    <n v="31990"/>
    <x v="1"/>
    <s v="3.0–3.9"/>
  </r>
  <r>
    <s v="B0GHFLZQ21"/>
    <s v="Cruise 1.5 Ton 5 Star, New star rated, Black Inverter Split AC (Copper, Convertible 4-in-1, 4-Way Swing, Cooling at 55 Â°C, PM 2.5 Filter, Energy Saving, Anti-Rust Tech, CWCVBM-VP3F185BL, Piano Black)"/>
    <s v="Air Conditioner"/>
    <n v="36989"/>
    <n v="60900"/>
    <n v="0.39300000000000002"/>
    <n v="3.7"/>
    <n v="11"/>
    <n v="1"/>
    <b v="0"/>
    <b v="0"/>
    <b v="0"/>
    <b v="0"/>
    <d v="2026-06-05T00:00:00"/>
    <n v="40.700000000000003"/>
    <n v="36989"/>
    <x v="1"/>
    <s v="3.0–3.9"/>
  </r>
  <r>
    <s v="B0BK1KS6ZD"/>
    <s v="Daikin 1.5 Ton 3 Star Inverter Split AC (Copper, PM 2.5 Filter, Triple Display, Dew Clean Technology, Coanda Airflow, 2024 Model, MTKL50U, White)"/>
    <s v="Air Conditioner"/>
    <n v="38990"/>
    <n v="67900"/>
    <n v="0.42599999999999999"/>
    <n v="4.0999999999999996"/>
    <n v="4698"/>
    <n v="1"/>
    <b v="0"/>
    <b v="0"/>
    <b v="0"/>
    <b v="0"/>
    <d v="2026-06-05T00:00:00"/>
    <n v="19261.8"/>
    <n v="38990"/>
    <x v="1"/>
    <s v="4.0–4.4"/>
  </r>
  <r>
    <s v="B0GT12VHZB"/>
    <s v="Voltas 1 ton 2 Star Fixed Speed Window AC (Copper, Anti Dust Filter, 2-Way Air Swing, Memory Restart, Sleep Mode (122FS PLATINA, White)"/>
    <s v="Air Conditioner"/>
    <n v="27981"/>
    <n v="32990"/>
    <n v="0.152"/>
    <n v="3.4"/>
    <n v="18"/>
    <n v="1"/>
    <b v="0"/>
    <b v="0"/>
    <b v="0"/>
    <b v="0"/>
    <d v="2026-06-05T00:00:00"/>
    <n v="61.199999999999996"/>
    <n v="27981"/>
    <x v="1"/>
    <s v="3.0–3.9"/>
  </r>
  <r>
    <s v="B0GLG57PWF"/>
    <s v="Ductless Mini Split Air Conditioner with Remote for Apartment Office Bedroom"/>
    <s v="Air Conditioner"/>
    <n v="5686"/>
    <n v="12167"/>
    <n v="0.53300000000000003"/>
    <m/>
    <n v="0"/>
    <n v="1"/>
    <b v="0"/>
    <b v="0"/>
    <b v="0"/>
    <b v="0"/>
    <d v="2026-06-05T00:00:00"/>
    <s v=""/>
    <n v="5686"/>
    <x v="0"/>
    <s v="Not Rated"/>
  </r>
  <r>
    <s v="B0GDZVGC9W"/>
    <s v="LG 1 Ton 4 Star,New star rated,DUAL Inverter Split AC (Copper, AI Convertible 6-in-1 with VIRAAT Mode,Faster Cooling &amp;amp; Energy Saving, 4 Way Swing, HD Filter with AntiVirus Protection,AS-Q13JNYE,White)"/>
    <s v="Air Conditioner"/>
    <n v="37490"/>
    <n v="68990"/>
    <n v="0.45700000000000002"/>
    <n v="4"/>
    <n v="2065"/>
    <n v="1"/>
    <b v="0"/>
    <b v="0"/>
    <b v="0"/>
    <b v="0"/>
    <d v="2026-06-05T00:00:00"/>
    <n v="8260"/>
    <n v="37490"/>
    <x v="1"/>
    <s v="4.0–4.4"/>
  </r>
  <r>
    <s v="B0F6VQ2XV6"/>
    <s v="Acerpure Chill Inverter Split Air Conditioner 1 ton 3 star, 4 in 1 convertible design, Anti-virus Filter, Blue Fin Technology Air Conditioner (White)"/>
    <s v="Air Conditioner"/>
    <n v="24990"/>
    <n v="27999"/>
    <n v="0.107"/>
    <n v="3.3"/>
    <n v="16"/>
    <n v="1"/>
    <b v="0"/>
    <b v="0"/>
    <b v="0"/>
    <b v="0"/>
    <d v="2026-06-05T00:00:00"/>
    <n v="52.8"/>
    <n v="24990"/>
    <x v="1"/>
    <s v="3.0–3.9"/>
  </r>
  <r>
    <s v="B0GLPT7LPG"/>
    <s v="Ecozen Smart Air Conditioner - 1.5 Ton Inverter AC with Intelligent Cooling and Smartphone App Control (Classic) - IDU-WSAC18310XE52VMA, ODU-WSAC18310XE52VMA"/>
    <s v="Air Conditioner"/>
    <m/>
    <m/>
    <m/>
    <n v="3.2"/>
    <n v="21"/>
    <n v="1"/>
    <b v="0"/>
    <b v="0"/>
    <b v="0"/>
    <b v="0"/>
    <d v="2026-06-05T00:00:00"/>
    <n v="67.2"/>
    <m/>
    <x v="3"/>
    <s v="3.0–3.9"/>
  </r>
  <r>
    <s v="B0DSJ9FQLD"/>
    <s v="Whirlpool 1.5 Ton 3 Star, Magicool Inverter Split AC (MAGICOOL 15T 3S INV CNV S5K2PP0, Copper, Convertible 4-in-1 Cooling Mode, HD Filter White)"/>
    <s v="Air Conditioner"/>
    <n v="32100"/>
    <n v="57660"/>
    <n v="0.443"/>
    <n v="3.3"/>
    <n v="630"/>
    <n v="1"/>
    <b v="0"/>
    <b v="0"/>
    <b v="0"/>
    <b v="0"/>
    <d v="2026-06-05T00:00:00"/>
    <n v="2079"/>
    <n v="32100"/>
    <x v="1"/>
    <s v="3.0–3.9"/>
  </r>
  <r>
    <s v="B0GMYF4SNM"/>
    <s v="Blue Star 1.5 Ton 5 Star,New Star Rated, Wi-Fi Smart Inverter Split AC (Copper,4-Way Swing, DigiQ Hepta Sensor, Blue Fins,Turbo Cool, Self Clean Technology (IA518ZXUS, White))"/>
    <s v="Air Conditioner"/>
    <n v="47490"/>
    <n v="75000"/>
    <n v="0.36699999999999999"/>
    <n v="4.2"/>
    <n v="19"/>
    <n v="1"/>
    <b v="0"/>
    <b v="0"/>
    <b v="0"/>
    <b v="0"/>
    <d v="2026-06-05T00:00:00"/>
    <n v="79.8"/>
    <n v="47490"/>
    <x v="1"/>
    <s v="4.0–4.4"/>
  </r>
  <r>
    <s v="B0GRTMHWLD"/>
    <s v="Sharp 1 Ton 3 star, New Star Rated,Split AC (4 Way Swing, 100% copper, Hi-Tech Inverter Compressor, 7in1 Convertible, Turbo cool, Dust filter) - AH-SI12V3B-GCN, White"/>
    <s v="Air Conditioner"/>
    <n v="27940"/>
    <m/>
    <m/>
    <n v="3.7"/>
    <n v="29"/>
    <n v="1"/>
    <b v="0"/>
    <b v="0"/>
    <b v="0"/>
    <b v="0"/>
    <d v="2026-06-05T00:00:00"/>
    <n v="107.30000000000001"/>
    <n v="27940"/>
    <x v="1"/>
    <s v="3.0–3.9"/>
  </r>
  <r>
    <s v="B0GHYMPNZ9"/>
    <s v="Samsung 1 Ton 3 Star,New Star rated Bespoke AI Inverter Smart Split AC (WiFi, Energy Saving, Voice Control, Powerful Cooling, Copper, Digital Inverter, 4 Way swing, white, AR50H12D1LHNNA)"/>
    <s v="Air Conditioner"/>
    <n v="33490"/>
    <n v="67990"/>
    <n v="0.50700000000000001"/>
    <n v="4.0999999999999996"/>
    <n v="96"/>
    <n v="1"/>
    <b v="0"/>
    <b v="0"/>
    <b v="0"/>
    <b v="0"/>
    <d v="2026-06-05T00:00:00"/>
    <n v="393.59999999999997"/>
    <n v="33490"/>
    <x v="1"/>
    <s v="4.0–4.4"/>
  </r>
  <r>
    <s v="B0DR2YG4FF"/>
    <s v="Godrej 1 Ton 3 Star,New star rated,5 Years Comprehensive Warranty,AI Powered, 5-In-1 Convertible Cooling, Inverter Split AC (Copper,Model,Heavy duty cooling at 52 Â°C, AC1T EI 12PINV3R32 WYQ 3S,White)"/>
    <s v="Air Conditioner"/>
    <n v="26490"/>
    <m/>
    <m/>
    <n v="3.4"/>
    <n v="443"/>
    <n v="1"/>
    <b v="0"/>
    <b v="0"/>
    <b v="0"/>
    <b v="0"/>
    <d v="2026-06-05T00:00:00"/>
    <n v="1506.2"/>
    <n v="26490"/>
    <x v="1"/>
    <s v="3.0–3.9"/>
  </r>
  <r>
    <s v="B0GPWXCGV1"/>
    <s v="Daikin 1.0 Ton 3 Star, New Star rated, Inverter Split AC (Copper, PM2.5 Filter, MTKL35XV16, White)"/>
    <s v="Air Conditioner"/>
    <n v="33490"/>
    <n v="48500"/>
    <n v="0.309"/>
    <n v="3.8"/>
    <n v="56"/>
    <n v="1"/>
    <b v="0"/>
    <b v="0"/>
    <b v="0"/>
    <b v="0"/>
    <d v="2026-06-05T00:00:00"/>
    <n v="212.79999999999998"/>
    <n v="33490"/>
    <x v="1"/>
    <s v="3.0–3.9"/>
  </r>
  <r>
    <s v="B0DSJ9J3PY"/>
    <s v="Whirlpool 1.5 Ton 5 Star, Magicool Inverter Split AC (MAGICOOL 15T 5S INV CNV S5K2PP0, Copper, Convertible 4-in-1 Cooling Mode, HD Filter White)"/>
    <s v="Air Conditioner"/>
    <n v="36950"/>
    <n v="75000"/>
    <n v="0.50700000000000001"/>
    <n v="3.5"/>
    <n v="877"/>
    <n v="1"/>
    <b v="0"/>
    <b v="0"/>
    <b v="0"/>
    <b v="0"/>
    <d v="2026-06-05T00:00:00"/>
    <n v="3069.5"/>
    <n v="36950"/>
    <x v="1"/>
    <s v="3.0–3.9"/>
  </r>
  <r>
    <s v="B0GHR4CZK4"/>
    <s v="Panasonic 1.5 Ton 5 Star, New star rated,Inverter Premium Window AC (Top Throw Airflow, 50Â°C Oper., Copper Cond., 8in1 Convertible, 4-Way, PM0.1 Filter, ECO Mode, Powerful Mode, CW-XU185CGT, White)"/>
    <s v="Air Conditioner"/>
    <n v="39289"/>
    <n v="60990"/>
    <n v="0.35599999999999998"/>
    <n v="4.4000000000000004"/>
    <n v="16"/>
    <n v="1"/>
    <b v="0"/>
    <b v="0"/>
    <b v="0"/>
    <b v="0"/>
    <d v="2026-06-05T00:00:00"/>
    <n v="70.400000000000006"/>
    <n v="39289"/>
    <x v="1"/>
    <s v="4.0–4.4"/>
  </r>
  <r>
    <s v="B0CWVDN3HZ"/>
    <s v="Voltas 185V Vectra CAR 1.5 ton 5 star,New star rated, inverter Split AC|4-IN-1 Adjustable modeHigh ambient Cooling-cools even at 52Â°C|Anti dust filter with Anti-microbial coating|Copper Coil|White"/>
    <s v="Air Conditioner"/>
    <n v="39990"/>
    <n v="83999"/>
    <n v="0.52400000000000002"/>
    <n v="3.7"/>
    <n v="1050"/>
    <n v="1"/>
    <b v="0"/>
    <b v="0"/>
    <b v="0"/>
    <b v="0"/>
    <d v="2026-06-05T00:00:00"/>
    <n v="3885"/>
    <n v="39990"/>
    <x v="1"/>
    <s v="3.0–3.9"/>
  </r>
  <r>
    <s v="B0CDHBG4TT"/>
    <s v="Hitachi 1.5 Ton 3 Star Hot &amp;amp; Cold Inverter Split AC with Expandable Technology (100% Copper, Dust Filter, 3100HP RSQG318HGXA, White)"/>
    <s v="Air Conditioner"/>
    <n v="37400"/>
    <m/>
    <m/>
    <n v="4.0999999999999996"/>
    <n v="85"/>
    <n v="1"/>
    <b v="0"/>
    <b v="0"/>
    <b v="0"/>
    <b v="0"/>
    <d v="2026-06-05T00:00:00"/>
    <n v="348.49999999999994"/>
    <n v="37400"/>
    <x v="1"/>
    <s v="4.0–4.4"/>
  </r>
  <r>
    <s v="B0GCDZ3BSK"/>
    <s v="Carrier 1.5 Ton 5 Star, New Star rated, Flexicool Inverter Split AC (Copper, Convertible 6-in-1 with Smart Energy Display, Insta Cool, Auto Clean and PM 2.5 Filter, ESTER EDGE Gxi-CAI18EE5R36F0, White)"/>
    <s v="Air Conditioner"/>
    <n v="45990"/>
    <n v="75590"/>
    <n v="0.39200000000000002"/>
    <n v="4"/>
    <n v="131"/>
    <n v="1"/>
    <b v="0"/>
    <b v="0"/>
    <b v="0"/>
    <b v="0"/>
    <d v="2026-06-05T00:00:00"/>
    <n v="524"/>
    <n v="45990"/>
    <x v="1"/>
    <s v="4.0–4.4"/>
  </r>
  <r>
    <s v="B0GHQTWCZ6"/>
    <s v="Panasonic 2.0 Ton 4 Star New Star rated Premium WiFi Inverter Smart Split AC (DustBuster Tech,Matter Enabled,AI,Higher Airflow, Copper Cond., 8in1 Convertible,4-Way,PM0.1 Filter,CS/CU-NU24BKY4W,White)"/>
    <s v="Air Conditioner"/>
    <n v="61989"/>
    <n v="79500"/>
    <n v="0.22"/>
    <n v="3.8"/>
    <n v="26"/>
    <n v="1"/>
    <b v="0"/>
    <b v="0"/>
    <b v="0"/>
    <b v="0"/>
    <d v="2026-06-05T00:00:00"/>
    <n v="98.8"/>
    <n v="61989"/>
    <x v="1"/>
    <s v="3.0–3.9"/>
  </r>
  <r>
    <s v="B0GP736CV2"/>
    <s v="Hitachi 1.5 Ton 5 Star, New star rated, Inverter Split AC (Copper,Wi-Fi, 4 Way Swing, Hybrid Convertible, ice Clean cooling, Anti-bacterial Mesh Filter,RAS.V518PCDIBM1, White)"/>
    <s v="Air Conditioner"/>
    <n v="45999"/>
    <n v="80990"/>
    <n v="0.432"/>
    <n v="3.6"/>
    <n v="29"/>
    <n v="1"/>
    <b v="0"/>
    <b v="0"/>
    <b v="0"/>
    <b v="0"/>
    <d v="2026-06-05T00:00:00"/>
    <n v="104.4"/>
    <n v="45999"/>
    <x v="1"/>
    <s v="3.0–3.9"/>
  </r>
  <r>
    <s v="B0GNZ9J864"/>
    <s v="Samsung 1.5Ton 5Star,New Star rated, Bespoke AI Inverter Smart Split AC (Wifi, Energy Saving, Voice Control, Powerful Cooling, Copper, Digital Inverter, 4 Way swing, White,AR50H18D1NHNNA)"/>
    <s v="Air Conditioner"/>
    <n v="48490"/>
    <n v="87990"/>
    <n v="0.44900000000000001"/>
    <n v="3.8"/>
    <n v="16"/>
    <n v="2"/>
    <b v="0"/>
    <b v="0"/>
    <b v="0"/>
    <b v="0"/>
    <d v="2026-06-05T00:00:00"/>
    <n v="60.8"/>
    <n v="48490"/>
    <x v="1"/>
    <s v="3.0–3.9"/>
  </r>
  <r>
    <s v="B0GSJLWC8B"/>
    <s v="IFB 1.5Ton 5Star,New star rated,AI Powered Inverter Split Air Conditioner,Hybrid Mode, 8in1 Flexi Mode,Heavy Duty Compressor,Self Clean, Dual Gold Fins,100% Copper Tubes,CI195GD32RGM3, white"/>
    <s v="Air Conditioner"/>
    <n v="42990"/>
    <n v="74990"/>
    <n v="0.42699999999999999"/>
    <n v="4.0999999999999996"/>
    <n v="38"/>
    <n v="2"/>
    <b v="0"/>
    <b v="0"/>
    <b v="0"/>
    <b v="0"/>
    <d v="2026-06-05T00:00:00"/>
    <n v="155.79999999999998"/>
    <n v="42990"/>
    <x v="1"/>
    <s v="4.0–4.4"/>
  </r>
  <r>
    <s v="B0GCDHG1FX"/>
    <s v="Carrier 2 T 5Star,New Star rated,Wi-Fi Smart Flexicool Inverter Split AC(Copper,Convertible6-in-1withWi-Fi with Geo-Fencing,Smart EnergyDisplay,New star Rating,ESTER EDGE Gxi WiFi-CAI24EE5R36W1,White)"/>
    <s v="Air Conditioner"/>
    <n v="58989"/>
    <n v="91690"/>
    <n v="0.35699999999999998"/>
    <n v="4"/>
    <n v="85"/>
    <n v="1"/>
    <b v="0"/>
    <b v="0"/>
    <b v="0"/>
    <b v="0"/>
    <d v="2026-06-05T00:00:00"/>
    <n v="340"/>
    <n v="58989"/>
    <x v="1"/>
    <s v="4.0–4.4"/>
  </r>
  <r>
    <s v="B0DQTDJ5MD"/>
    <s v="Hitachi 1.5 Ton 5 Star, New star rated, Xpandable+ Inverter Split AC (100% Copper, Smart Display, 4-Way Swing, ice Clean, Dust Filter, 5400STXL RAS.G518PCCIBT, White)"/>
    <s v="Air Conditioner"/>
    <n v="44690"/>
    <m/>
    <m/>
    <n v="4"/>
    <n v="775"/>
    <n v="3"/>
    <b v="0"/>
    <b v="0"/>
    <b v="0"/>
    <b v="0"/>
    <d v="2026-06-05T00:00:00"/>
    <n v="3100"/>
    <n v="44690"/>
    <x v="1"/>
    <s v="4.0–4.4"/>
  </r>
  <r>
    <s v="B0G9SR834W"/>
    <s v="Samsung 1.5 Ton 3 Star,New Star rated, Bespoke AI Inverter Smart Split AC (WiFi, Energy Saving,Voice Control,Powerful Cooling,Copper, Digital Inverter, 4 Way swing, White, AR50H18D13HNNA)"/>
    <s v="Air Conditioner"/>
    <n v="35490"/>
    <n v="78990"/>
    <n v="0.55100000000000005"/>
    <n v="3.7"/>
    <n v="1830"/>
    <n v="1"/>
    <b v="0"/>
    <b v="0"/>
    <b v="0"/>
    <b v="0"/>
    <d v="2026-06-05T00:00:00"/>
    <n v="6771"/>
    <n v="35490"/>
    <x v="1"/>
    <s v="3.0–3.9"/>
  </r>
  <r>
    <s v="B0GS286N2M"/>
    <s v="Blue Star 2 Ton 3 Star, New Star Rated, Smart Inverter Split AC (Copper,4-Way Swing, DigiQ Hepta Sensor, Blue Fins,Turbo Cool, Self Clean Technology (IA322DXU, White)"/>
    <s v="Air Conditioner"/>
    <n v="48950"/>
    <n v="84990"/>
    <n v="0.42399999999999999"/>
    <n v="4.4000000000000004"/>
    <n v="23"/>
    <n v="8"/>
    <b v="0"/>
    <b v="0"/>
    <b v="0"/>
    <b v="0"/>
    <d v="2026-06-05T00:00:00"/>
    <n v="101.2"/>
    <n v="48950"/>
    <x v="1"/>
    <s v="4.0–4.4"/>
  </r>
  <r>
    <s v="B0GKMP6VYS"/>
    <s v="Lloyd 1.5 Ton 5 Star Inverter Split AC, 2026 New Star Rated (6 in 1 Convertible, Cools Up To 54Â°C, DG Mode, Ice Clean, Smart 4 Way Swing, Turbo Cool, Installation Check, White, GLS18I5AGGGW)"/>
    <s v="Air Conditioner"/>
    <n v="43990"/>
    <n v="66990"/>
    <n v="0.34300000000000003"/>
    <n v="3.1"/>
    <n v="26"/>
    <n v="1"/>
    <b v="0"/>
    <b v="0"/>
    <b v="0"/>
    <b v="0"/>
    <d v="2026-06-05T00:00:00"/>
    <n v="80.600000000000009"/>
    <n v="43990"/>
    <x v="1"/>
    <s v="3.0–3.9"/>
  </r>
  <r>
    <s v="B0GYT9CTX1"/>
    <s v="LG 1 Ton 5 Star, New star rated, Smart Inverter Split AC (Copper, AI Convertible 6-in-1 Cooling, Faster Cooling &amp;amp; Energy Saving, HD Filter with Anti-Virus Protection, Him Clean, AS-Q14YNZE, White)"/>
    <s v="Air Conditioner"/>
    <n v="42690"/>
    <n v="82390"/>
    <n v="0.48199999999999998"/>
    <m/>
    <n v="0"/>
    <n v="1"/>
    <b v="0"/>
    <b v="0"/>
    <b v="0"/>
    <b v="0"/>
    <d v="2026-06-05T00:00:00"/>
    <s v=""/>
    <n v="42690"/>
    <x v="1"/>
    <s v="Not Rated"/>
  </r>
  <r>
    <s v="B0H1S4RH9H"/>
    <s v="SWANKK WiFi Mini Hidden Spy Camera, 1080P HD, Night Vision, Motion Detection, Wireless Indoor Nanny Cam with Remote Viewing"/>
    <s v="Camera"/>
    <n v="599"/>
    <n v="1299"/>
    <n v="0.53900000000000003"/>
    <n v="3"/>
    <n v="2"/>
    <n v="1"/>
    <b v="0"/>
    <b v="0"/>
    <b v="0"/>
    <b v="0"/>
    <d v="2026-06-05T00:00:00"/>
    <n v="6"/>
    <n v="599"/>
    <x v="5"/>
    <s v="3.0–3.9"/>
  </r>
  <r>
    <s v="B0DQY9DPXR"/>
    <s v="Toy Imagine Kids Digital Camera Toy 3.0MP 1080P Video Camera with 2-Inch Screen &amp;amp; 32GB Capacity USB Rechargeable with Games,Filters,Time-Lapse Educational Birthday Gift for Boys &amp;amp; Girls Age 3â€“12(Blue)"/>
    <s v="Camera"/>
    <n v="611"/>
    <n v="999"/>
    <n v="0.38800000000000001"/>
    <n v="3.6"/>
    <n v="915"/>
    <n v="1"/>
    <b v="0"/>
    <b v="0"/>
    <b v="0"/>
    <b v="0"/>
    <d v="2026-06-05T00:00:00"/>
    <n v="3294"/>
    <n v="611"/>
    <x v="5"/>
    <s v="3.0–3.9"/>
  </r>
  <r>
    <s v="B0F2GBXRYQ"/>
    <s v="Cason 48MP Digital Camera for Kids &amp;amp; Adults -Real Photo &amp;amp; Video Mini Camera for Photography 2.4â€ Rotating Screen, Built in Games Kids Cameras for 5-15 Years Girls &amp;amp; Boys with 8 GB Sd Card (Pink)"/>
    <s v="Camera"/>
    <n v="2499"/>
    <n v="4995"/>
    <n v="0.5"/>
    <n v="4.2"/>
    <n v="217"/>
    <n v="1"/>
    <b v="0"/>
    <b v="0"/>
    <b v="1"/>
    <b v="0"/>
    <d v="2026-06-05T00:00:00"/>
    <n v="911.40000000000009"/>
    <n v="2499"/>
    <x v="2"/>
    <s v="4.0–4.4"/>
  </r>
  <r>
    <s v="B0BWK7KGNF"/>
    <s v="TECHNOVIEW Full HD Wi-Fi Wireless Security Camera 1080p Audio Video Live View Low Light Vision Motion Detection Video Recorder for Home Office. (IP Camera)"/>
    <s v="Camera"/>
    <n v="749"/>
    <n v="2999"/>
    <n v="0.75"/>
    <n v="3"/>
    <n v="1080"/>
    <n v="1"/>
    <b v="0"/>
    <b v="0"/>
    <b v="0"/>
    <b v="0"/>
    <d v="2026-06-05T00:00:00"/>
    <n v="3240"/>
    <n v="749"/>
    <x v="5"/>
    <s v="3.0–3.9"/>
  </r>
  <r>
    <s v="B0G1C2TGWX"/>
    <s v="Storio Kids Digital Camera Toy 3.0MP 1080P HD Video Camera with 2-Inch Screen | USB Rechargeable Mini Camera | Educational Toy &amp;amp; Birthday Gift for Boys &amp;amp; Girls Age 3â€“12 | Supports 32GB SD Card - Blue"/>
    <s v="Camera"/>
    <n v="567"/>
    <n v="1399"/>
    <n v="0.59499999999999997"/>
    <n v="3.8"/>
    <n v="316"/>
    <n v="1"/>
    <b v="0"/>
    <b v="0"/>
    <b v="0"/>
    <b v="0"/>
    <d v="2026-06-05T00:00:00"/>
    <n v="1200.8"/>
    <n v="567"/>
    <x v="5"/>
    <s v="3.0–3.9"/>
  </r>
  <r>
    <s v="B0FNRV6X18"/>
    <s v="CP PLUS 2MP Full HD Wi-Fi CCTV Camera for Home with Motion Tracking | Smart Detection Suite | Night Vision | Cloud Recording | View &amp;amp; Talk | Supports OK Google | CTC Cyber Secure | CP-E25Q"/>
    <s v="Camera"/>
    <n v="1999"/>
    <n v="2700"/>
    <n v="0.26"/>
    <n v="3.7"/>
    <n v="15051"/>
    <n v="1"/>
    <b v="0"/>
    <b v="0"/>
    <b v="0"/>
    <b v="1"/>
    <d v="2026-06-05T00:00:00"/>
    <n v="55688.700000000004"/>
    <n v="1999"/>
    <x v="2"/>
    <s v="3.0–3.9"/>
  </r>
  <r>
    <s v="B0GLGLRD9Z"/>
    <s v="Codnida Spy Camera Pen HD Video Recording with Audio | Hidden Recording Pen for Meetings &amp;amp; Security | Portable Pen Camera with Long Battery Life | Discreet Spy Pen Camera for Indoor &amp;amp; Outdoor Use"/>
    <s v="Camera"/>
    <n v="1599"/>
    <n v="2799"/>
    <n v="0.42899999999999999"/>
    <n v="4.2"/>
    <n v="2585"/>
    <n v="1"/>
    <b v="0"/>
    <b v="0"/>
    <b v="0"/>
    <b v="0"/>
    <d v="2026-06-05T00:00:00"/>
    <n v="10857"/>
    <n v="1599"/>
    <x v="2"/>
    <s v="4.0–4.4"/>
  </r>
  <r>
    <s v="B0FL2P622N"/>
    <s v="CP PLUS 3MP Resolution Smart Wi-fi CCTV Home Security Camera | 360Â° View | Motion Tracking | 2-Way Talk | Cloud &amp;amp; SD Card Support | CTC Cyber Secure Tech | 15M Night Vision | CP-E31Q"/>
    <s v="Camera"/>
    <n v="2199"/>
    <n v="2800"/>
    <n v="0.215"/>
    <n v="3.8"/>
    <n v="294"/>
    <n v="1"/>
    <b v="0"/>
    <b v="0"/>
    <b v="0"/>
    <b v="1"/>
    <d v="2026-06-05T00:00:00"/>
    <n v="1117.2"/>
    <n v="2199"/>
    <x v="2"/>
    <s v="3.0–3.9"/>
  </r>
  <r>
    <s v="B0GZV2SYGM"/>
    <s v="Dr Vision 5MP Indoor WiFi Smart CCTV Camera for Home | 1080p HD | Color Night Vision | Motion Detection | Two Way Audio | Wireless Home Security Camera with Mobile App V380 Pro (CV Dual Lens)"/>
    <s v="Camera"/>
    <n v="1879"/>
    <n v="8999"/>
    <n v="0.79100000000000004"/>
    <n v="2.7"/>
    <n v="4"/>
    <n v="1"/>
    <b v="0"/>
    <b v="0"/>
    <b v="0"/>
    <b v="0"/>
    <d v="2026-06-05T00:00:00"/>
    <n v="10.8"/>
    <n v="1879"/>
    <x v="2"/>
    <s v="2.0–2.9"/>
  </r>
  <r>
    <s v="B0G64G64YL"/>
    <s v="Qubo Smart Cam 360Â° 3MP [2026 Edition] by Hero Group | STQC Certified | AI Person Detection | Intruder Alarm | Color Night Vision | Two-Way Talk | Records Directly on Cloud | No SD Card Required"/>
    <s v="Camera"/>
    <n v="2490"/>
    <n v="3990"/>
    <n v="0.376"/>
    <n v="3.8"/>
    <n v="3495"/>
    <n v="1"/>
    <b v="0"/>
    <b v="0"/>
    <b v="0"/>
    <b v="0"/>
    <d v="2026-06-05T00:00:00"/>
    <n v="13281"/>
    <n v="2490"/>
    <x v="2"/>
    <s v="3.0–3.9"/>
  </r>
  <r>
    <s v="B0GNKW2XT6"/>
    <s v="Kids Digital Camera | 1080p Video &amp;amp; 3.0MP Photos | 2-Inch Screen, USB Rechargeable &amp;amp; Portable | Fun Mini Toy Camera for Boys &amp;amp; Girls Age 3â€“10 | Educational Birthday Gift"/>
    <s v="Camera"/>
    <n v="499"/>
    <n v="1999"/>
    <n v="0.75"/>
    <n v="3.9"/>
    <n v="12"/>
    <n v="1"/>
    <b v="0"/>
    <b v="0"/>
    <b v="0"/>
    <b v="0"/>
    <d v="2026-06-05T00:00:00"/>
    <n v="46.8"/>
    <n v="499"/>
    <x v="4"/>
    <s v="3.0–3.9"/>
  </r>
  <r>
    <s v="B0FH5G1Z7P"/>
    <s v="CP Plus 2.4MP IR Wired Bullet Outdoor Camera CP-URC-TC24PL3 Compatible with DVR only | 3.6mm Lens | 30 Meter Black &amp;amp; White Night Vision | IP67 | Analog HD CCTV Camera, White"/>
    <s v="Camera"/>
    <n v="923"/>
    <n v="3400"/>
    <n v="0.72899999999999998"/>
    <n v="3.9"/>
    <n v="280"/>
    <n v="15"/>
    <b v="0"/>
    <b v="0"/>
    <b v="0"/>
    <b v="0"/>
    <d v="2026-06-05T00:00:00"/>
    <n v="1092"/>
    <n v="923"/>
    <x v="5"/>
    <s v="3.0–3.9"/>
  </r>
  <r>
    <s v="B0GLGSTCDP"/>
    <s v="DDLC 5MP Indoor WiFi Smart CCTV Camera for Home | 1080p HD | Color Night Vision | Motion Detection | Two Way Audio | Wireless Home Security Camera with Mobile App V380 Pro (Upro Dual Lens)"/>
    <s v="Camera"/>
    <n v="1989"/>
    <n v="3999"/>
    <n v="0.503"/>
    <n v="4.5999999999999996"/>
    <n v="14"/>
    <n v="1"/>
    <b v="0"/>
    <b v="0"/>
    <b v="0"/>
    <b v="0"/>
    <d v="2026-06-05T00:00:00"/>
    <n v="64.399999999999991"/>
    <n v="1989"/>
    <x v="2"/>
    <s v="4.5–5.0"/>
  </r>
  <r>
    <s v="B0C8HCLQVC"/>
    <s v="Canon EOS R100 24.1 MP Mirrorless Camera (Black) with RF-S18-45mm f/4.5-6.3 is STM Optical Zoom Lens | 4k Video"/>
    <s v="Camera"/>
    <n v="42990"/>
    <n v="64995"/>
    <n v="0.33900000000000002"/>
    <n v="4"/>
    <n v="100"/>
    <n v="1"/>
    <b v="0"/>
    <b v="0"/>
    <b v="0"/>
    <b v="0"/>
    <d v="2026-06-05T00:00:00"/>
    <n v="400"/>
    <n v="42990"/>
    <x v="1"/>
    <s v="4.0–4.4"/>
  </r>
  <r>
    <s v="B0C783YNW7"/>
    <s v="DJI Osmo Action 4 Standard Combo - 4K/120Fps Waterproof Action Digital Camera with A 1/1.3-Inch Sensor, 10-Bit &amp;amp; D-Log M Color Performance, Outdoor Digital Camera for Travel, Biking"/>
    <s v="Camera"/>
    <n v="24990"/>
    <n v="44999"/>
    <n v="0.44500000000000001"/>
    <n v="4.5999999999999996"/>
    <n v="4487"/>
    <n v="1"/>
    <b v="0"/>
    <b v="0"/>
    <b v="0"/>
    <b v="0"/>
    <d v="2026-06-05T00:00:00"/>
    <n v="20640.199999999997"/>
    <n v="24990"/>
    <x v="1"/>
    <s v="4.5–5.0"/>
  </r>
  <r>
    <s v="B0CHZ1HF2Q"/>
    <s v="CADDLE &amp;amp; TOES Kids Camera for Girls Boys,Kids Selfie Camera 13MP 1080P HD Digital Video Camera for Toddler,Christmas Birthday Gifts for 4+ to15 Years Old Children (Pink)"/>
    <s v="Camera"/>
    <n v="548"/>
    <n v="1999"/>
    <n v="0.72599999999999998"/>
    <n v="3.4"/>
    <n v="372"/>
    <n v="1"/>
    <b v="0"/>
    <b v="0"/>
    <b v="0"/>
    <b v="0"/>
    <d v="2026-06-05T00:00:00"/>
    <n v="1264.8"/>
    <n v="548"/>
    <x v="5"/>
    <s v="3.0–3.9"/>
  </r>
  <r>
    <s v="B0FH5H1144"/>
    <s v="CP PLUS 2.4MP Full HD IP Indoor Wired Dome Camera CP-URC-DC24PL3 Compatible with DVR only | 30 Meters IR Black &amp;amp; White Night Vision | 3.6mm Lens | Motion Detection, White"/>
    <s v="Camera"/>
    <n v="919"/>
    <n v="1900"/>
    <n v="0.51600000000000001"/>
    <n v="3.8"/>
    <n v="258"/>
    <n v="1"/>
    <b v="0"/>
    <b v="0"/>
    <b v="0"/>
    <b v="0"/>
    <d v="2026-06-05T00:00:00"/>
    <n v="980.4"/>
    <n v="919"/>
    <x v="5"/>
    <s v="3.0–3.9"/>
  </r>
  <r>
    <s v="B0FMRJZT33"/>
    <s v="CP PLUS 4MP Quad HD Smart Wi-Fi CCTV Camera | 360Â° Pan &amp;amp; Tilt | Press to Call | CTC Cyber Secure Tech | Smart Detection Suite | View &amp;amp; Talk | IR Night Vision | Cloud Recording | OK Google | CP-E44Q"/>
    <s v="Camera"/>
    <n v="2699"/>
    <n v="4600"/>
    <n v="0.41299999999999998"/>
    <n v="3.4"/>
    <n v="252"/>
    <n v="1"/>
    <b v="0"/>
    <b v="0"/>
    <b v="0"/>
    <b v="1"/>
    <d v="2026-06-05T00:00:00"/>
    <n v="856.8"/>
    <n v="2699"/>
    <x v="2"/>
    <s v="3.0–3.9"/>
  </r>
  <r>
    <s v="B0FKMLFTY8"/>
    <s v="Sony Alpha ZV-E10K (Previously ZV-E10L) with Upgraded SELP1650 (Ver 2) Power Zoom Lens | 24.2 MP Interchangeable-Lens Mirrorless vlog Camera, Made for Creators |APS-C Sensor 4K Movie Recording-Black"/>
    <s v="Camera"/>
    <n v="63990"/>
    <n v="72990"/>
    <n v="0.123"/>
    <n v="4.5999999999999996"/>
    <n v="39"/>
    <n v="1"/>
    <b v="0"/>
    <b v="0"/>
    <b v="0"/>
    <b v="0"/>
    <d v="2026-06-05T00:00:00"/>
    <n v="179.39999999999998"/>
    <n v="63990"/>
    <x v="1"/>
    <s v="4.5–5.0"/>
  </r>
  <r>
    <s v="B0FK4RND9C"/>
    <s v="CP PLUS 3MP Smart Wi-Fi CCTV Camera | 360Â° Pan &amp;amp; Tilt | CTC Cyber Secure Tech | View &amp;amp; Talk | Smart Detection Suite | Night Vision | Cloud Storage | Supports OK Google | CP-E35Q"/>
    <s v="Camera"/>
    <n v="2199"/>
    <n v="3500"/>
    <n v="0.372"/>
    <n v="3.3"/>
    <n v="598"/>
    <n v="1"/>
    <b v="0"/>
    <b v="0"/>
    <b v="0"/>
    <b v="1"/>
    <d v="2026-06-05T00:00:00"/>
    <n v="1973.3999999999999"/>
    <n v="2199"/>
    <x v="2"/>
    <s v="3.0–3.9"/>
  </r>
  <r>
    <s v="B0FHQ9Q53J"/>
    <s v="Toy Imagine Kids Digital Camera 1080p Video &amp;amp; 5.0MP Photos 2-Inch Screen, USB Rechargeable &amp;amp; Portable Fun Mini Toy Camera for Boys &amp;amp; Girls Age 3â€“10 Educational Birthday Gift(Blue)SD Card Not Included"/>
    <s v="Camera"/>
    <n v="589"/>
    <n v="799"/>
    <n v="0.26300000000000001"/>
    <n v="3.7"/>
    <n v="104"/>
    <n v="1"/>
    <b v="0"/>
    <b v="0"/>
    <b v="0"/>
    <b v="0"/>
    <d v="2026-06-05T00:00:00"/>
    <n v="384.8"/>
    <n v="589"/>
    <x v="5"/>
    <s v="3.0–3.9"/>
  </r>
  <r>
    <s v="B0GXZBY1GZ"/>
    <s v="WiFi Camera 360Â° Security Camera for Home Outdoor High HD Magnet Mini Spy WiFi Magnetic Live Stream Night Vision IP Wireless 1080P Audio Video Hidden CCTV Magne"/>
    <s v="Camera"/>
    <n v="899"/>
    <n v="4999"/>
    <n v="0.82"/>
    <n v="3.2"/>
    <n v="19"/>
    <n v="1"/>
    <b v="0"/>
    <b v="0"/>
    <b v="0"/>
    <b v="0"/>
    <d v="2026-06-05T00:00:00"/>
    <n v="60.800000000000004"/>
    <n v="899"/>
    <x v="5"/>
    <s v="3.0–3.9"/>
  </r>
  <r>
    <s v="B0G64NW2KQ"/>
    <s v="Qubo Smart 360Â° 3MP [2K] Wi-Fi Security Camera [2026 Edition] by Hero Group | Indoor CCTV Cam for Home | STQC Certified | AI Person Detection | Color Night Vision | SD&amp;amp;Cloud Storage (Pack of 2)"/>
    <s v="Camera"/>
    <n v="4990"/>
    <n v="7580"/>
    <n v="0.34200000000000003"/>
    <n v="3.8"/>
    <n v="168"/>
    <n v="1"/>
    <b v="0"/>
    <b v="0"/>
    <b v="0"/>
    <b v="0"/>
    <d v="2026-06-05T00:00:00"/>
    <n v="638.4"/>
    <n v="4990"/>
    <x v="2"/>
    <s v="3.0–3.9"/>
  </r>
  <r>
    <s v="B0BCW1S7XR"/>
    <s v="insta360 X3 Action Camera, 1/2&amp;quot; Sensor, 5.7K 360 Capture, Optical Zoom 3X, 72 MP 360 Photo, 4K Single Lens Mode, Black"/>
    <s v="Camera"/>
    <n v="25990"/>
    <n v="51999"/>
    <n v="0.5"/>
    <n v="4.3"/>
    <n v="1524"/>
    <n v="1"/>
    <b v="0"/>
    <b v="0"/>
    <b v="0"/>
    <b v="0"/>
    <d v="2026-06-05T00:00:00"/>
    <n v="6553.2"/>
    <n v="25990"/>
    <x v="1"/>
    <s v="4.0–4.4"/>
  </r>
  <r>
    <s v="B0D1YH4B2R"/>
    <s v="DJI Osmo Action 5 Pro Standard Combo, Waterproof Camera with 1/1.3&amp;quot; Sensor, 4K/120fps Video, Subject Tracking, Stabilization, Dual OLED Touchscreens, Action Camera 4K Ideal for Sports, Vlog"/>
    <s v="Camera"/>
    <n v="35990"/>
    <n v="40990"/>
    <n v="0.122"/>
    <n v="4.5"/>
    <n v="1691"/>
    <n v="1"/>
    <b v="0"/>
    <b v="0"/>
    <b v="0"/>
    <b v="0"/>
    <d v="2026-06-05T00:00:00"/>
    <n v="7609.5"/>
    <n v="35990"/>
    <x v="1"/>
    <s v="4.5–5.0"/>
  </r>
  <r>
    <s v="B0DFY77JNM"/>
    <s v="Maizic Smarthome Dual Lens Mini Fox | 5+5MP WiFi CCTV Camera with PTZ &amp;amp; Fixed View | AI Motion Detection, Color Night Vision, Two-Way Audio, 360ï¿½ Coverage, App Remote Access"/>
    <s v="Camera"/>
    <n v="1697"/>
    <n v="4399"/>
    <n v="0.61399999999999999"/>
    <n v="3.5"/>
    <n v="714"/>
    <n v="1"/>
    <b v="0"/>
    <b v="0"/>
    <b v="0"/>
    <b v="0"/>
    <d v="2026-06-05T00:00:00"/>
    <n v="2499"/>
    <n v="1697"/>
    <x v="2"/>
    <s v="3.0–3.9"/>
  </r>
  <r>
    <s v="B0GXVQQK3P"/>
    <s v="DDLC 5MP Indoor WiFi Smart CCTV Camera for Home | 360Â° Pan Tilt | Color Night Vision | Motion Detection | Two Way Audio | Wireless Home Security Camera with Mobile App V380 Pro (Upro Dual Lens)"/>
    <s v="Camera"/>
    <n v="1989"/>
    <n v="3999"/>
    <n v="0.503"/>
    <n v="1.9"/>
    <n v="4"/>
    <n v="1"/>
    <b v="0"/>
    <b v="0"/>
    <b v="0"/>
    <b v="0"/>
    <d v="2026-06-05T00:00:00"/>
    <n v="7.6"/>
    <n v="1989"/>
    <x v="2"/>
    <s v="Below 2.0"/>
  </r>
  <r>
    <s v="B0G1XY42W7"/>
    <s v="1080P Body Camera Pen [Upgraded 2026] â€“ Body Cam with HD Video or Picture Taking, SD Card Storage, and Manual Control for Privacy Compliance"/>
    <s v="Camera"/>
    <n v="1649"/>
    <n v="2499"/>
    <n v="0.34"/>
    <n v="4.7"/>
    <n v="4"/>
    <n v="1"/>
    <b v="0"/>
    <b v="0"/>
    <b v="0"/>
    <b v="0"/>
    <d v="2026-06-05T00:00:00"/>
    <n v="18.8"/>
    <n v="1649"/>
    <x v="2"/>
    <s v="4.5–5.0"/>
  </r>
  <r>
    <s v="B0CYGYCRH8"/>
    <s v="Qubo Smart 360Â° 3MP [2K] CCTV Camera | Wi-Fi Indoor Home Security Cam | STQC Certified | AI Person Detection | Automatic Alarm | App Alerts | NightPulse Vision | SD &amp;amp; Cloud Storage | Made in India"/>
    <s v="Camera"/>
    <n v="2490"/>
    <n v="4490"/>
    <n v="0.44500000000000001"/>
    <n v="3.6"/>
    <n v="5120"/>
    <n v="2"/>
    <b v="0"/>
    <b v="0"/>
    <b v="0"/>
    <b v="1"/>
    <d v="2026-06-05T00:00:00"/>
    <n v="18432"/>
    <n v="2490"/>
    <x v="2"/>
    <s v="3.0–3.9"/>
  </r>
  <r>
    <s v="B0DTK5596V"/>
    <s v="Sony New Alpha ILCE-6100X (Previously ILCE-6100Y) with Upgraded SELP1650 (Ver 2) Power Zoom Lens + SEL55210 Lens | 24.2 MP | APS-C Sensor | Fast Auto Focus | Tiltable LCD â€“ Black"/>
    <s v="Camera"/>
    <n v="76490"/>
    <n v="89990"/>
    <n v="0.15"/>
    <n v="4.5999999999999996"/>
    <n v="90"/>
    <n v="1"/>
    <b v="0"/>
    <b v="0"/>
    <b v="0"/>
    <b v="0"/>
    <d v="2026-06-05T00:00:00"/>
    <n v="413.99999999999994"/>
    <n v="76490"/>
    <x v="1"/>
    <s v="4.5–5.0"/>
  </r>
  <r>
    <s v="B0CG19FGQ5"/>
    <s v="DJI Osmo Pocket 3 Creator Combo, Vlogging Camera with 1&amp;#x27;&amp;#x27; CMOS &amp;amp; 4K/120fps Video, 3-Axis Stabilization, Face/Object Tracking, Fast Focusing, Mic Included for Clear Sound, Small Camera for Photography"/>
    <s v="Camera"/>
    <n v="59134"/>
    <n v="74990"/>
    <n v="0.21099999999999999"/>
    <n v="4.4000000000000004"/>
    <n v="6218"/>
    <n v="1"/>
    <b v="0"/>
    <b v="0"/>
    <b v="0"/>
    <b v="0"/>
    <d v="2026-06-05T00:00:00"/>
    <n v="27359.200000000001"/>
    <n v="59134"/>
    <x v="1"/>
    <s v="4.0–4.4"/>
  </r>
  <r>
    <s v="B0DJC4NBV8"/>
    <s v="Fujifilm X-M5 26.1MP APS-C X-Trans CMOS 4 with 15-45 f/3.5-5.6 Lens|Retro Style mirrorless Compact Travel Camera|6.2k vlogging|High Speed Recording FHD 240fps|Advance AF for Street/Lifestyle - Silver"/>
    <s v="Camera"/>
    <n v="88000"/>
    <n v="94999"/>
    <n v="7.3999999999999996E-2"/>
    <n v="4.5"/>
    <n v="143"/>
    <n v="1"/>
    <b v="0"/>
    <b v="0"/>
    <b v="0"/>
    <b v="0"/>
    <d v="2026-06-05T00:00:00"/>
    <n v="643.5"/>
    <n v="88000"/>
    <x v="1"/>
    <s v="4.5–5.0"/>
  </r>
  <r>
    <s v="B0GKG3TLF3"/>
    <s v="Waitbird USB Charger Mini Hidden Camera 1080p Full HD Plug &amp;amp; Play Spy Cam | Secret Camera for Home Hidden &amp;amp; Office Use | Mini Spy Camera Works While Charging | Supports 256GB â€“ Security Surveillance"/>
    <s v="Camera"/>
    <n v="1599"/>
    <n v="3299"/>
    <n v="0.51500000000000001"/>
    <n v="4.3"/>
    <n v="4795"/>
    <n v="1"/>
    <b v="0"/>
    <b v="0"/>
    <b v="0"/>
    <b v="0"/>
    <d v="2026-06-05T00:00:00"/>
    <n v="20618.5"/>
    <n v="1599"/>
    <x v="2"/>
    <s v="4.0–4.4"/>
  </r>
  <r>
    <s v="B0BLLCJ963"/>
    <s v="KODAK PIXPRO AZ405-BK 20MP Digital Camera 40X Optical Zoom 24mm Wide Angle Lens Optical Image Stabilization 1080P Full HD Video 3&amp;quot; LCD Vlogging Camera (Black)"/>
    <s v="Camera"/>
    <n v="28499"/>
    <n v="39999"/>
    <n v="0.28799999999999998"/>
    <n v="4"/>
    <n v="1034"/>
    <n v="1"/>
    <b v="0"/>
    <b v="0"/>
    <b v="0"/>
    <b v="0"/>
    <d v="2026-06-05T00:00:00"/>
    <n v="4136"/>
    <n v="28499"/>
    <x v="1"/>
    <s v="4.0–4.4"/>
  </r>
  <r>
    <s v="B0GVJNKCTW"/>
    <s v="JB Supar 6MP Smart WiFi Dual Lens Outdoor PTZ CCTV Camera | 360Â° View | Full HD | Color Night Vision | Two Way Audio | Wireless Home Security Camera with Mobile App V380 Pro (Dual Lens PTZ)"/>
    <s v="Camera"/>
    <n v="2979"/>
    <n v="4999"/>
    <n v="0.40400000000000003"/>
    <n v="4"/>
    <n v="2"/>
    <n v="1"/>
    <b v="0"/>
    <b v="0"/>
    <b v="0"/>
    <b v="0"/>
    <d v="2026-06-05T00:00:00"/>
    <n v="8"/>
    <n v="2979"/>
    <x v="2"/>
    <s v="4.0–4.4"/>
  </r>
  <r>
    <s v="B0GXYYQJ2M"/>
    <s v="Godrej Security Solutions EVE Pro 3 Indoor Wi-Fi CCTV Camera | New Launch | 3MP Night Vision | 360 View | Human Detection &amp;amp; Motion Tracking | 2-Way Talk | Up to 256GB SD Card Support"/>
    <s v="Camera"/>
    <n v="2410"/>
    <n v="2799"/>
    <n v="0.13900000000000001"/>
    <n v="2.7"/>
    <n v="16"/>
    <n v="1"/>
    <b v="0"/>
    <b v="0"/>
    <b v="0"/>
    <b v="0"/>
    <d v="2026-06-05T00:00:00"/>
    <n v="43.2"/>
    <n v="2410"/>
    <x v="2"/>
    <s v="2.0–2.9"/>
  </r>
  <r>
    <s v="B09B84729K"/>
    <s v="Leica SL2-S Mirrorless Digital Camera with Vario-Elmarit-SL 24-70 f/2.8 ASPH Lens (Bundle)"/>
    <s v="Camera"/>
    <n v="1117486"/>
    <n v="1409912"/>
    <n v="0.20699999999999999"/>
    <n v="5"/>
    <n v="5"/>
    <n v="1"/>
    <b v="0"/>
    <b v="0"/>
    <b v="0"/>
    <b v="0"/>
    <d v="2026-06-05T00:00:00"/>
    <n v="25"/>
    <n v="1117486"/>
    <x v="1"/>
    <s v="4.5–5.0"/>
  </r>
  <r>
    <s v="B0FN4RBZ6G"/>
    <s v="Kids Instant Print Camera â€“ Mini Digital HD Photo &amp;amp; Video Camcorder with Games | Fun Learning Toy for Boys &amp;amp; Girls Ages 4-18 | Includes 2 Print Rolls â€“ Ideal Gift for Kids (Blue)"/>
    <s v="Camera"/>
    <n v="1678"/>
    <n v="3999"/>
    <n v="0.57999999999999996"/>
    <n v="3.7"/>
    <n v="70"/>
    <n v="1"/>
    <b v="0"/>
    <b v="0"/>
    <b v="0"/>
    <b v="0"/>
    <d v="2026-06-05T00:00:00"/>
    <n v="259"/>
    <n v="1678"/>
    <x v="2"/>
    <s v="3.0–3.9"/>
  </r>
  <r>
    <s v="B07NF5PT84"/>
    <s v="Sony Alpha ILCE-6400M 24.2MP Mirrorless Digital SLR Camera (Black) with 18-135mm Zoom Lens | APS-C Sensor |Real-Time Eye Auto Focus | 4K Vlogging Camera | Tiltable LCD - Black"/>
    <s v="Camera"/>
    <n v="91490"/>
    <n v="116490"/>
    <n v="0.215"/>
    <n v="4.7"/>
    <n v="195"/>
    <n v="1"/>
    <b v="0"/>
    <b v="0"/>
    <b v="0"/>
    <b v="0"/>
    <d v="2026-06-05T00:00:00"/>
    <n v="916.5"/>
    <n v="91490"/>
    <x v="1"/>
    <s v="4.5–5.0"/>
  </r>
  <r>
    <s v="B07VGHW91J"/>
    <s v="Sony Alpha ILCE-7RM4A Full-Frame 61.0MP Mirrorless Digital SLR Camera Body (4K Full Frame, Real-Time Eye Auto Focus, Real time Animal Eye AF, Tiltable LCD) - Black"/>
    <s v="Camera"/>
    <n v="264990"/>
    <n v="297990"/>
    <n v="0.111"/>
    <n v="4.5999999999999996"/>
    <n v="245"/>
    <n v="1"/>
    <b v="0"/>
    <b v="0"/>
    <b v="0"/>
    <b v="0"/>
    <d v="2026-06-05T00:00:00"/>
    <n v="1127"/>
    <n v="264990"/>
    <x v="1"/>
    <s v="4.5–5.0"/>
  </r>
  <r>
    <s v="B0GRH88VYL"/>
    <s v="DDLC 4+4MP Smart WiFi PTZ CCTV Camera for Home Indoor | 360Â° Pan &amp;amp; Tilt | Color Night Vision | Motion Detection | Two-Way Audio | Wireless Security Camera with Mobile App V380 Pro"/>
    <s v="Camera"/>
    <n v="1889"/>
    <n v="2999"/>
    <n v="0.37"/>
    <n v="3.9"/>
    <n v="12"/>
    <n v="1"/>
    <b v="0"/>
    <b v="0"/>
    <b v="0"/>
    <b v="0"/>
    <d v="2026-06-05T00:00:00"/>
    <n v="46.8"/>
    <n v="1889"/>
    <x v="2"/>
    <s v="3.0–3.9"/>
  </r>
  <r>
    <s v="B0C3HXLYFS"/>
    <s v="HIKVISION 2Mp Indoor Wired Color Camera for Dvr Ds-2Ce5Ad0T-Itp Eco Bnc/Dc, White - 1080P"/>
    <s v="Camera"/>
    <n v="944"/>
    <n v="3200"/>
    <n v="0.70499999999999996"/>
    <n v="3.9"/>
    <n v="305"/>
    <n v="7"/>
    <b v="0"/>
    <b v="0"/>
    <b v="0"/>
    <b v="0"/>
    <d v="2026-06-05T00:00:00"/>
    <n v="1189.5"/>
    <n v="944"/>
    <x v="5"/>
    <s v="3.0–3.9"/>
  </r>
  <r>
    <s v="B0B2KV6D97"/>
    <s v="Canon EOS R10 24.2MP RF-S18-150 F/3.5-6.3 IS STM Mirrorless Camera (APS-C Sendor, 4K UHD Video) for Wedding &amp;amp; Content Creators - Black"/>
    <s v="Camera"/>
    <n v="102890"/>
    <n v="119995"/>
    <n v="0.14299999999999999"/>
    <n v="4.7"/>
    <n v="268"/>
    <n v="1"/>
    <b v="0"/>
    <b v="0"/>
    <b v="0"/>
    <b v="0"/>
    <d v="2026-06-05T00:00:00"/>
    <n v="1259.6000000000001"/>
    <n v="102890"/>
    <x v="1"/>
    <s v="4.5–5.0"/>
  </r>
  <r>
    <s v="B0GKPNC2NR"/>
    <s v="Digital Cameras for Photography - 5K 75MP Vlogging Camera for YouTube WiFi - UHD Autofocus Vlog Camera 3&amp;quot; 180Â° Flip Screen with 18X Zoom - Travel YouTube with 32GB SD Card, 2 Batteries (CAM25)"/>
    <s v="Camera"/>
    <n v="7999"/>
    <n v="14999"/>
    <n v="0.46700000000000003"/>
    <n v="2.4"/>
    <n v="5"/>
    <n v="1"/>
    <b v="0"/>
    <b v="0"/>
    <b v="0"/>
    <b v="0"/>
    <d v="2026-06-05T00:00:00"/>
    <n v="12"/>
    <n v="7999"/>
    <x v="0"/>
    <s v="2.0–2.9"/>
  </r>
  <r>
    <s v="B0CBQR21K3"/>
    <s v="Canon EOS R5 C Mirrorless Digital Camera - Black - Kit with RF24-70mm F2.8 L IS USM Lens"/>
    <s v="Camera"/>
    <n v="1005481"/>
    <n v="1055481"/>
    <n v="4.7E-2"/>
    <n v="5"/>
    <n v="1"/>
    <n v="1"/>
    <b v="0"/>
    <b v="0"/>
    <b v="0"/>
    <b v="0"/>
    <d v="2026-06-05T00:00:00"/>
    <n v="5"/>
    <n v="1005481"/>
    <x v="1"/>
    <s v="4.5–5.0"/>
  </r>
  <r>
    <s v="B0DW49ZB6Y"/>
    <s v="Canon EOS R1 24.2 MP Full-Frame Mirrorless Camera Body Only (6K RAW &amp;amp; 4K 120p Video) - Black"/>
    <s v="Camera"/>
    <n v="599999"/>
    <n v="630995"/>
    <n v="4.9000000000000002E-2"/>
    <n v="3.7"/>
    <n v="3"/>
    <n v="1"/>
    <b v="0"/>
    <b v="0"/>
    <b v="0"/>
    <b v="0"/>
    <d v="2026-06-05T00:00:00"/>
    <n v="11.100000000000001"/>
    <n v="599999"/>
    <x v="1"/>
    <s v="3.0–3.9"/>
  </r>
  <r>
    <s v="B0GRVB1X7Z"/>
    <s v="DDLC 4MP Wireless PTZ Security Camera for Home Outdoor | Dual Antenna | 360Â° Pan Tilt | Night Vision | Two-Way Audio | Motion Detection | WiFi CCTV Camera with Mobile App V380 Pro (Mini PTZ)"/>
    <s v="Camera"/>
    <n v="1489"/>
    <n v="2499"/>
    <n v="0.40400000000000003"/>
    <n v="3.8"/>
    <n v="3"/>
    <n v="1"/>
    <b v="0"/>
    <b v="0"/>
    <b v="0"/>
    <b v="0"/>
    <d v="2026-06-05T00:00:00"/>
    <n v="11.399999999999999"/>
    <n v="1489"/>
    <x v="2"/>
    <s v="3.0–3.9"/>
  </r>
  <r>
    <s v="B0FRRRNVPX"/>
    <s v="OBSBOT Tiny 2 Lite AI-Powered 4K PTZ Webcam with AI Tracking, 1/2â€³ Sensor, 1080p@60FPS HDR, Gesture Control, Dual Microphones, Auto Focus | Webcam for PC, Laptop, Streaming, Meetings &amp;amp; Video Calls"/>
    <s v="Camera"/>
    <n v="18970"/>
    <n v="32999"/>
    <n v="0.42499999999999999"/>
    <n v="4.4000000000000004"/>
    <n v="73"/>
    <n v="1"/>
    <b v="0"/>
    <b v="0"/>
    <b v="0"/>
    <b v="0"/>
    <d v="2026-06-05T00:00:00"/>
    <n v="321.20000000000005"/>
    <n v="18970"/>
    <x v="1"/>
    <s v="4.0–4.4"/>
  </r>
  <r>
    <s v="B0F1XQX7M4"/>
    <s v="Storio Rechargeable Pocket Video Game for Kids 400 in 1 Retro Game Box Console Handheld Game Box with TV Output - Multicolor"/>
    <s v="Gaming Console"/>
    <n v="581"/>
    <n v="1299"/>
    <n v="0.55300000000000005"/>
    <n v="3.4"/>
    <n v="1210"/>
    <n v="1"/>
    <b v="0"/>
    <b v="0"/>
    <b v="0"/>
    <b v="0"/>
    <d v="2026-06-05T00:00:00"/>
    <n v="4114"/>
    <n v="581"/>
    <x v="5"/>
    <s v="3.0–3.9"/>
  </r>
  <r>
    <s v="B0GCTMJ81F"/>
    <s v="POWERNRI 2026 4K Gaming Console for TV | 20000+ Built-in Games | Wireless Dual Gamepads | Plug &amp;amp; Play Games| Family Fun Entertainment"/>
    <s v="Gaming Console"/>
    <n v="1999"/>
    <n v="3999"/>
    <n v="0.5"/>
    <n v="4"/>
    <n v="10"/>
    <n v="1"/>
    <b v="0"/>
    <b v="0"/>
    <b v="0"/>
    <b v="0"/>
    <d v="2026-06-05T00:00:00"/>
    <n v="40"/>
    <n v="1999"/>
    <x v="2"/>
    <s v="4.0–4.4"/>
  </r>
  <r>
    <s v="B0GYS94ZFJ"/>
    <s v="500 in 1 Handheld Game Console for Kids | Retro Video Game Player with Rechargeable Battery, TV Output, Portable Pocket Gaming Device with Controller | Classic Arcade Games for Boys &amp;amp; Girls"/>
    <s v="Gaming Console"/>
    <n v="785"/>
    <n v="1299"/>
    <n v="0.39600000000000002"/>
    <n v="4.2"/>
    <n v="43"/>
    <n v="1"/>
    <b v="0"/>
    <b v="0"/>
    <b v="0"/>
    <b v="0"/>
    <d v="2026-06-05T00:00:00"/>
    <n v="180.6"/>
    <n v="785"/>
    <x v="5"/>
    <s v="4.0–4.4"/>
  </r>
  <r>
    <s v="B0GKFM3848"/>
    <s v="TOYTONIC Rechargeable Pocket Video Game Console for Kids 400-in-1 Retro Handheld Gaming Device with Built-in Classic Games, TV Output Support(Color Assorted)"/>
    <s v="Gaming Console"/>
    <n v="580"/>
    <n v="999"/>
    <n v="0.41899999999999998"/>
    <n v="3.6"/>
    <n v="100"/>
    <n v="1"/>
    <b v="0"/>
    <b v="0"/>
    <b v="0"/>
    <b v="0"/>
    <d v="2026-06-05T00:00:00"/>
    <n v="360"/>
    <n v="580"/>
    <x v="5"/>
    <s v="3.0–3.9"/>
  </r>
  <r>
    <s v="B0GF8SBBY5"/>
    <s v="TOYTONIC R36S Retro Emulator Handheld Video Game Console, Built-in 22,000+ Games, 3.5 Inch IPS HD Screen,Up to 6 Hours Play Time,Rechargeable Portable Gaming Device,Gift for Boys &amp;amp; Girls (Assorted)"/>
    <s v="Gaming Console"/>
    <n v="3397"/>
    <n v="5999"/>
    <n v="0.434"/>
    <m/>
    <n v="0"/>
    <n v="1"/>
    <b v="0"/>
    <b v="0"/>
    <b v="0"/>
    <b v="0"/>
    <d v="2026-06-05T00:00:00"/>
    <s v=""/>
    <n v="3397"/>
    <x v="2"/>
    <s v="Not Rated"/>
  </r>
  <r>
    <s v="B0DRSRVQ4C"/>
    <s v="TOYTONIC Handheld Gaming Console for Kids &amp;amp; Adults | 520 Classic Built-in Games | Retro Video Game Player | Portable, Rechargeable, TV Output | Toy &amp;amp; Gift for Boys Girls Ages 6-14 | Mini Game Box"/>
    <s v="Gaming Console"/>
    <n v="756"/>
    <n v="999"/>
    <n v="0.24299999999999999"/>
    <m/>
    <n v="0"/>
    <n v="1"/>
    <b v="0"/>
    <b v="0"/>
    <b v="0"/>
    <b v="0"/>
    <d v="2026-06-05T00:00:00"/>
    <s v=""/>
    <n v="756"/>
    <x v="5"/>
    <s v="Not Rated"/>
  </r>
  <r>
    <s v="B0H2RSS17L"/>
    <s v="2026 New 4K TV Game Con-Sole | Plug &amp;amp; Play R-etro Gaming Console with 2 Wireless Controllers | HDMI Video Game System for Kids &amp;amp; Family | ( Limited Kids Edition 2026 ) (NEW Limited Stock)"/>
    <s v="Gaming Console"/>
    <n v="3399"/>
    <n v="5000"/>
    <n v="0.32"/>
    <n v="4.2"/>
    <n v="8"/>
    <n v="1"/>
    <b v="0"/>
    <b v="0"/>
    <b v="0"/>
    <b v="0"/>
    <d v="2026-06-05T00:00:00"/>
    <n v="33.6"/>
    <n v="3399"/>
    <x v="2"/>
    <s v="4.0–4.4"/>
  </r>
  <r>
    <s v="B0GZ9V61JJ"/>
    <s v="2026 4K HDMI Gaming Console for TV, Plug and Play Video Game System with 2 Wireless Controllers, Built-in Retro Games, Family Entertainment for Kids &amp;amp; Adults (Special Edition 2026)"/>
    <s v="Gaming Console"/>
    <n v="3499"/>
    <n v="5500"/>
    <n v="0.36399999999999999"/>
    <n v="5"/>
    <n v="6"/>
    <n v="1"/>
    <b v="0"/>
    <b v="0"/>
    <b v="0"/>
    <b v="0"/>
    <d v="2026-06-05T00:00:00"/>
    <n v="30"/>
    <n v="3499"/>
    <x v="2"/>
    <s v="4.5–5.0"/>
  </r>
  <r>
    <s v="B0F88PKHKF"/>
    <s v="Wireless Retro Gaming Console for TV | HDMI Game Stick | Plug &amp;amp; Play | Dual Wireless Controllers | Classic Arcade Style Games | Family Gaming | Black"/>
    <s v="Gaming Console"/>
    <n v="1995"/>
    <n v="4998"/>
    <n v="0.60099999999999998"/>
    <n v="3.7"/>
    <n v="413"/>
    <n v="1"/>
    <b v="0"/>
    <b v="0"/>
    <b v="0"/>
    <b v="0"/>
    <d v="2026-06-05T00:00:00"/>
    <n v="1528.1000000000001"/>
    <n v="1995"/>
    <x v="2"/>
    <s v="3.0–3.9"/>
  </r>
  <r>
    <s v="B0H2RMLPRT"/>
    <s v="2026 New 4K TV Game Con-Sole | Plug &amp;amp; Play R-etro Gaming Console | HDMI Retro Game Stick with Dual Wireless Controllers | Plug &amp;amp; Play Family Entertainment Device (Standard Edition)"/>
    <s v="Gaming Console"/>
    <n v="3349"/>
    <n v="5000"/>
    <n v="0.33"/>
    <n v="4.2"/>
    <n v="8"/>
    <n v="1"/>
    <b v="0"/>
    <b v="0"/>
    <b v="0"/>
    <b v="0"/>
    <d v="2026-06-05T00:00:00"/>
    <n v="33.6"/>
    <n v="3349"/>
    <x v="2"/>
    <s v="4.0–4.4"/>
  </r>
  <r>
    <s v="B0FQPHYPBJ"/>
    <s v="Domenico Retro Handheld Gaming Console, Video Game for Kids, SUP Game 3 Iinch Display, 400 Games, TV Compatible, Gaming Console for Kids and Adults (Color As Per Availability)"/>
    <s v="Gaming Console"/>
    <n v="545"/>
    <n v="1999"/>
    <n v="0.72699999999999998"/>
    <n v="3.9"/>
    <n v="37"/>
    <n v="1"/>
    <b v="0"/>
    <b v="0"/>
    <b v="0"/>
    <b v="0"/>
    <d v="2026-06-05T00:00:00"/>
    <n v="144.29999999999998"/>
    <n v="545"/>
    <x v="5"/>
    <s v="3.0–3.9"/>
  </r>
  <r>
    <s v="B0CMJDVH1N"/>
    <s v="EWDGOES R36S Handheld Game Console 3.5 inch Preinstalled Emulator System White 32GB+64GB"/>
    <s v="Gaming Console"/>
    <n v="3599"/>
    <n v="4990"/>
    <n v="0.27900000000000003"/>
    <n v="3.2"/>
    <n v="125"/>
    <n v="1"/>
    <b v="0"/>
    <b v="0"/>
    <b v="0"/>
    <b v="0"/>
    <d v="2026-06-05T00:00:00"/>
    <n v="400"/>
    <n v="3599"/>
    <x v="2"/>
    <s v="3.0–3.9"/>
  </r>
  <r>
    <s v="B0GT1BSNLL"/>
    <s v="GS5Pro Retro Gaming Console - Wireless Controller Gamepad- 1080P HD Graphics, 64GB Storage,Video Game TV Stick for All Ages"/>
    <s v="Gaming Console"/>
    <n v="4899"/>
    <n v="8999"/>
    <n v="0.45600000000000002"/>
    <n v="4.5999999999999996"/>
    <n v="10"/>
    <n v="1"/>
    <b v="0"/>
    <b v="0"/>
    <b v="1"/>
    <b v="0"/>
    <d v="2026-06-05T00:00:00"/>
    <n v="46"/>
    <n v="4899"/>
    <x v="2"/>
    <s v="4.5–5.0"/>
  </r>
  <r>
    <s v="B0FYWSTM4J"/>
    <s v="SmartcamÂ® Retro Handheld Gaming Console for Kids &amp;amp; Adults | 520+ Built-in Classic Video Games | Portable Rechargeable Mini Game Player | TV Output | Gift for Boys &amp;amp; Girls Ages 6â€“14"/>
    <s v="Gaming Console"/>
    <n v="673"/>
    <n v="2999"/>
    <n v="0.77600000000000002"/>
    <n v="3.4"/>
    <n v="17"/>
    <n v="1"/>
    <b v="0"/>
    <b v="0"/>
    <b v="0"/>
    <b v="0"/>
    <d v="2026-06-05T00:00:00"/>
    <n v="57.8"/>
    <n v="673"/>
    <x v="5"/>
    <s v="3.0–3.9"/>
  </r>
  <r>
    <s v="B0GQHL1W8Q"/>
    <s v="TOYTONIC Portable Retro Handheld Game Console for Kids | 3.5&amp;quot; Color Screen Classic Gaming with Preloaded 620 Games | Built-in Power Cell, TV Output | Video Games Player ð‹ð¢ð¦ð¢ð­ðžð ð“ð¨ððšð²"/>
    <s v="Gaming Console"/>
    <n v="1208"/>
    <n v="1599"/>
    <n v="0.245"/>
    <n v="2.8"/>
    <n v="2"/>
    <n v="1"/>
    <b v="0"/>
    <b v="0"/>
    <b v="0"/>
    <b v="0"/>
    <d v="2026-06-05T00:00:00"/>
    <n v="5.6"/>
    <n v="1208"/>
    <x v="2"/>
    <s v="2.0–2.9"/>
  </r>
  <r>
    <s v="B0FG2QY14B"/>
    <s v="R36 Ultra Retro Handheld Game Console-2025 Model with 128GB, 4-Inch IPS Screen, Over 30K Games Mini Video Games Console, Supports 23 Emulators, Linux-Based Retro Gaming Console (White)"/>
    <s v="Gaming Console"/>
    <n v="4950"/>
    <n v="6990"/>
    <n v="0.29199999999999998"/>
    <n v="3.8"/>
    <n v="62"/>
    <n v="1"/>
    <b v="0"/>
    <b v="0"/>
    <b v="0"/>
    <b v="0"/>
    <d v="2026-06-05T00:00:00"/>
    <n v="235.6"/>
    <n v="4950"/>
    <x v="2"/>
    <s v="3.0–3.9"/>
  </r>
  <r>
    <s v="B0DSVVCM9D"/>
    <s v="TOYTONIC Retro Handheld Gaming Console for Kids &amp;amp; Adults â€“ 666-In-1 Built-in Classic Video Games â€“ Rechargeable Game Console for Boys 7-14 Years â€“ TV Output â€“ Portable Toy Gift"/>
    <s v="Gaming Console"/>
    <n v="1199"/>
    <n v="1599"/>
    <n v="0.25"/>
    <n v="3.9"/>
    <n v="267"/>
    <n v="1"/>
    <b v="0"/>
    <b v="0"/>
    <b v="0"/>
    <b v="0"/>
    <d v="2026-06-05T00:00:00"/>
    <n v="1041.3"/>
    <n v="1199"/>
    <x v="2"/>
    <s v="3.0–3.9"/>
  </r>
  <r>
    <s v="B0DKT7VBFM"/>
    <s v="Toy Imagine Retro Handheld Gaming Console for Kids | Portable Mini Gamepad with Builtin Screen | 520 Classic Games | Perfect Pocket Toy for Boys | Ideal for Ages 6+ | Inspired Fun"/>
    <s v="Gaming Console"/>
    <n v="776"/>
    <n v="999"/>
    <n v="0.223"/>
    <n v="3.7"/>
    <n v="48"/>
    <n v="1"/>
    <b v="0"/>
    <b v="0"/>
    <b v="0"/>
    <b v="0"/>
    <d v="2026-06-05T00:00:00"/>
    <n v="177.60000000000002"/>
    <n v="776"/>
    <x v="5"/>
    <s v="3.0–3.9"/>
  </r>
  <r>
    <s v="B0G6ZZZ3XV"/>
    <s v="NextTech UHD Retro Handheld Game Console | Built-in Classic Games | Mini Portable Video Game Player for Kids &amp;amp; Adults | Plug &amp;amp; Play Gaming Device | Random Color"/>
    <s v="Gaming Console"/>
    <n v="999"/>
    <n v="1999"/>
    <n v="0.5"/>
    <n v="4.3"/>
    <n v="6"/>
    <n v="1"/>
    <b v="0"/>
    <b v="0"/>
    <b v="0"/>
    <b v="0"/>
    <d v="2026-06-05T00:00:00"/>
    <n v="25.799999999999997"/>
    <n v="999"/>
    <x v="5"/>
    <s v="4.0–4.4"/>
  </r>
  <r>
    <s v="B0FPQQD7C7"/>
    <s v="Cubonic Rediscover Gaming Magic VividGo Mi7 â€“ Sleek Handheld Console, Huge 20k+ Game Library &amp;amp; Immersive HD Screen LED Display, 23+ Emulators, 64GB Storage, Rechargeable Battery (4.3, Inches)"/>
    <s v="Gaming Console"/>
    <n v="6199"/>
    <n v="9999"/>
    <n v="0.38"/>
    <n v="3.7"/>
    <n v="18"/>
    <n v="1"/>
    <b v="0"/>
    <b v="0"/>
    <b v="0"/>
    <b v="0"/>
    <d v="2026-06-05T00:00:00"/>
    <n v="66.600000000000009"/>
    <n v="6199"/>
    <x v="0"/>
    <s v="3.0–3.9"/>
  </r>
  <r>
    <s v="B0G38HMV1B"/>
    <s v="SNAPTRON Handheld Gaming Console for Kids &amp;amp; Adults| G7 Retro Game Console| 666-In-1 Built-in Classic Video Games| Portable Gaming Console| Rechargeable Game Console for Boys 7-14 Years| Retro Game Box"/>
    <s v="Gaming Console"/>
    <n v="898"/>
    <n v="1349"/>
    <n v="0.33400000000000002"/>
    <n v="3.8"/>
    <n v="56"/>
    <n v="1"/>
    <b v="0"/>
    <b v="0"/>
    <b v="0"/>
    <b v="0"/>
    <d v="2026-06-05T00:00:00"/>
    <n v="212.79999999999998"/>
    <n v="898"/>
    <x v="5"/>
    <s v="3.0–3.9"/>
  </r>
  <r>
    <s v="B0FQDWFHWW"/>
    <s v="DOMENICO Wireless video games for tv gaming Retro gaming console with Game Stick Plug &amp;amp; Play TV Video Game Set for 2 player with 15Emulator for Kids &amp;amp; Old School Station Video Game - Black"/>
    <s v="Gaming Console"/>
    <n v="1999"/>
    <n v="3999"/>
    <n v="0.5"/>
    <n v="3.2"/>
    <n v="35"/>
    <n v="1"/>
    <b v="0"/>
    <b v="0"/>
    <b v="0"/>
    <b v="0"/>
    <d v="2026-06-05T00:00:00"/>
    <n v="112"/>
    <n v="1999"/>
    <x v="2"/>
    <s v="3.0–3.9"/>
  </r>
  <r>
    <s v="B0F2LZHDZ2"/>
    <s v="TOYTONIC G5 Handheld Game Console for Kids, Retro Gaming Device with 3.0&amp;quot; HD Screen, Built-in 500 Classic Games, AV Output, Random Color â€“ Portable Game Player for Boys &amp;amp; Girls, Multicolour"/>
    <s v="Gaming Console"/>
    <n v="679"/>
    <n v="999"/>
    <n v="0.32"/>
    <n v="3.7"/>
    <n v="246"/>
    <n v="1"/>
    <b v="0"/>
    <b v="0"/>
    <b v="0"/>
    <b v="0"/>
    <d v="2026-06-05T00:00:00"/>
    <n v="910.2"/>
    <n v="679"/>
    <x v="5"/>
    <s v="3.0–3.9"/>
  </r>
  <r>
    <s v="B0GL7P1QL9"/>
    <s v="SMARTCAM M15 Game Stick 22000+ INBUILT Video Game Console Retro Classic 3D 4K Full HD with 2 Wireless Gamepad Plug &amp;amp; Play Video Game 64GB"/>
    <s v="Gaming Console"/>
    <n v="2289"/>
    <n v="4999"/>
    <n v="0.54200000000000004"/>
    <n v="2.1"/>
    <n v="17"/>
    <n v="1"/>
    <b v="0"/>
    <b v="0"/>
    <b v="0"/>
    <b v="0"/>
    <d v="2026-06-05T00:00:00"/>
    <n v="35.700000000000003"/>
    <n v="2289"/>
    <x v="2"/>
    <s v="2.0–2.9"/>
  </r>
  <r>
    <s v="B0GT9SCQZN"/>
    <s v="Maizic GS5 Pro 4K Retro Gaming Console | 30,000+ Games Built-in | 53 Emulators | Wireless HDMI Plug &amp;amp; Play Game System for TV, PC, Projector | Includes 2 Wireless Controllers"/>
    <s v="Gaming Console"/>
    <n v="4799"/>
    <n v="8399"/>
    <n v="0.42899999999999999"/>
    <n v="2"/>
    <n v="2"/>
    <n v="1"/>
    <b v="0"/>
    <b v="0"/>
    <b v="0"/>
    <b v="0"/>
    <d v="2026-06-05T00:00:00"/>
    <n v="4"/>
    <n v="4799"/>
    <x v="2"/>
    <s v="2.0–2.9"/>
  </r>
  <r>
    <s v="B0G1GYMRV4"/>
    <s v="TOYTONIC Portable Retro Handheld Game Console for Kids | Classic Gaming with Preloaded 620 Games | 3.5&amp;quot; Color Screen, Built-in Power Cell, TV Output | Video Games Player ð‹ð¢ð¦ð¢ð­ðžð ð“ð¨ððšð²"/>
    <s v="Gaming Console"/>
    <n v="899"/>
    <n v="999"/>
    <n v="0.1"/>
    <n v="3"/>
    <n v="39"/>
    <n v="1"/>
    <b v="0"/>
    <b v="0"/>
    <b v="0"/>
    <b v="0"/>
    <d v="2026-06-05T00:00:00"/>
    <n v="117"/>
    <n v="899"/>
    <x v="5"/>
    <s v="3.0–3.9"/>
  </r>
  <r>
    <s v="B0G4NF9JQG"/>
    <s v="New 2026 Upgraded 4k TV Video Game Gaming System, Plug &amp;amp; Play Video TV Games HD with Wireless 2 Controllers for Men/Women/Girls/Boys/Adult/Kids"/>
    <s v="Gaming Console"/>
    <n v="2299"/>
    <n v="3999"/>
    <n v="0.42499999999999999"/>
    <n v="3.4"/>
    <n v="3"/>
    <n v="1"/>
    <b v="0"/>
    <b v="0"/>
    <b v="0"/>
    <b v="0"/>
    <d v="2026-06-05T00:00:00"/>
    <n v="10.199999999999999"/>
    <n v="2299"/>
    <x v="2"/>
    <s v="3.0–3.9"/>
  </r>
  <r>
    <s v="B0D8VVH9CS"/>
    <s v="NextTech P5 4K Retro Game Console | Portable Handheld Gaming Device | Built-in Classic Games | HDMI TV Output | Plug &amp;amp; Play Video Game Stick for Kids, Adults &amp;amp; Family Entertainment"/>
    <s v="Gaming Console"/>
    <n v="899"/>
    <n v="1999"/>
    <n v="0.55000000000000004"/>
    <n v="3.6"/>
    <n v="17"/>
    <n v="1"/>
    <b v="0"/>
    <b v="0"/>
    <b v="0"/>
    <b v="0"/>
    <d v="2026-06-05T00:00:00"/>
    <n v="61.2"/>
    <n v="899"/>
    <x v="5"/>
    <s v="3.0–3.9"/>
  </r>
  <r>
    <s v="B0F6N212VV"/>
    <s v="VikriDA Handheld Game Players | 4.3In X7 Video Game Console | Double Rocker 8GB Memory Built in 10000 Games MP5 Multifunctional Inbuilt Camera"/>
    <s v="Gaming Console"/>
    <n v="3298"/>
    <n v="7999"/>
    <n v="0.58799999999999997"/>
    <n v="3"/>
    <n v="30"/>
    <n v="1"/>
    <b v="0"/>
    <b v="0"/>
    <b v="0"/>
    <b v="0"/>
    <d v="2026-06-05T00:00:00"/>
    <n v="90"/>
    <n v="3298"/>
    <x v="2"/>
    <s v="3.0–3.9"/>
  </r>
  <r>
    <s v="B09GPGJZN5"/>
    <s v="GSH Wireless 4K Video Game Console Stick with built-in Retro Classic Games + Gamepads"/>
    <s v="Gaming Console"/>
    <n v="1899"/>
    <n v="3999"/>
    <n v="0.52500000000000002"/>
    <n v="3.2"/>
    <n v="113"/>
    <n v="1"/>
    <b v="0"/>
    <b v="0"/>
    <b v="0"/>
    <b v="0"/>
    <d v="2026-06-05T00:00:00"/>
    <n v="361.6"/>
    <n v="1899"/>
    <x v="2"/>
    <s v="3.0–3.9"/>
  </r>
  <r>
    <s v="B0D4J24X5C"/>
    <s v="VikriDA G5 500-in-1 Retro Handheld Game Console for Kids â€“ 2 Players Classic TV-Compatible Game Box with Controller â€“ Multicolor"/>
    <s v="Gaming Console"/>
    <n v="797"/>
    <n v="1999"/>
    <n v="0.60099999999999998"/>
    <n v="3.4"/>
    <n v="133"/>
    <n v="1"/>
    <b v="0"/>
    <b v="0"/>
    <b v="0"/>
    <b v="0"/>
    <d v="2026-06-05T00:00:00"/>
    <n v="452.2"/>
    <n v="797"/>
    <x v="5"/>
    <s v="3.0–3.9"/>
  </r>
  <r>
    <s v="B0FPQM4CCB"/>
    <s v="Zepplay Retro Game Stick 4K Plug &amp;amp; Play HDMI Console for TV | 21,000+ Preloaded Retro-Style Games | Dual Wireless Controllers | 64GB Card | Gaming Console for Kids &amp;amp; Family Entertainment"/>
    <s v="Gaming Console"/>
    <n v="2499"/>
    <n v="4999"/>
    <n v="0.5"/>
    <n v="3.2"/>
    <n v="127"/>
    <n v="1"/>
    <b v="0"/>
    <b v="0"/>
    <b v="0"/>
    <b v="0"/>
    <d v="2026-06-05T00:00:00"/>
    <n v="406.40000000000003"/>
    <n v="2499"/>
    <x v="2"/>
    <s v="3.0–3.9"/>
  </r>
  <r>
    <s v="B0GTNSXTDZ"/>
    <s v="ZORBESÂ® Hard EVA Carrying Case for Retro Handheld Game Console, Shockproof Protective Travel Storage Bag Portable Retro Gaming Console Case with Mesh Pocket &amp;amp; Wrist Strap"/>
    <s v="Gaming Console"/>
    <n v="631"/>
    <n v="899"/>
    <n v="0.29799999999999999"/>
    <m/>
    <n v="0"/>
    <n v="1"/>
    <b v="0"/>
    <b v="0"/>
    <b v="0"/>
    <b v="0"/>
    <d v="2026-06-05T00:00:00"/>
    <s v=""/>
    <n v="631"/>
    <x v="5"/>
    <s v="Not Rated"/>
  </r>
  <r>
    <s v="B0FSDNXVG8"/>
    <s v="ASUS ROG XBOX Ally (2025), AMD Ryzen Z2 A Processor,16GB RAM, 512GB SSD, 7&amp;quot;/17.8cm, FHD, Touchscreen,120Hz, 500 nits, Windows 11 Home, White, 670g, RC73YA-NH010W,AMD Radeon Graphics,Gaming Handheld PC"/>
    <s v="Gaming Console"/>
    <n v="59990"/>
    <n v="83990"/>
    <n v="0.28599999999999998"/>
    <n v="4.3"/>
    <n v="36"/>
    <n v="1"/>
    <b v="0"/>
    <b v="0"/>
    <b v="0"/>
    <b v="0"/>
    <d v="2026-06-05T00:00:00"/>
    <n v="154.79999999999998"/>
    <n v="59990"/>
    <x v="1"/>
    <s v="4.0–4.4"/>
  </r>
  <r>
    <s v="B0H36W8FDH"/>
    <s v="400 in 1 Handheld Game Console for Kids | 3.0 Inch Screen | Rechargeable Battery | TV Output | 2 Player Retro Gaming Console"/>
    <s v="Gaming Console"/>
    <n v="649"/>
    <n v="1599"/>
    <n v="0.59399999999999997"/>
    <m/>
    <n v="0"/>
    <n v="1"/>
    <b v="0"/>
    <b v="0"/>
    <b v="0"/>
    <b v="0"/>
    <d v="2026-06-05T00:00:00"/>
    <s v=""/>
    <n v="649"/>
    <x v="5"/>
    <s v="Not Rated"/>
  </r>
  <r>
    <s v="B0GZSGRF2V"/>
    <s v="J36 Ultra Handheld Gaming Console with | WiFi &amp;amp; YouTube |3.5 Inch IPS HD Display, 64 GB, 30,000+ Games, Rechargeable Battery 20+ Emulator Hand Video Game, RGB joystick lighting, Built-in YouTube support (Orange)"/>
    <s v="Gaming Console"/>
    <n v="4499"/>
    <n v="6990"/>
    <n v="0.35599999999999998"/>
    <n v="5"/>
    <n v="1"/>
    <n v="1"/>
    <b v="0"/>
    <b v="0"/>
    <b v="0"/>
    <b v="0"/>
    <d v="2026-06-05T00:00:00"/>
    <n v="5"/>
    <n v="4499"/>
    <x v="2"/>
    <s v="4.5–5.0"/>
  </r>
  <r>
    <s v="B0GJ5D3M5L"/>
    <s v="POWERNRI 2026 Classic Game Box R36S Handheld Gaming Console with 10000+ Retro Games, 3.5&amp;quot; Display, Dual Joysticks, Rechargeable Battery for Kids &amp;amp; Adults"/>
    <s v="Gaming Console"/>
    <n v="3999"/>
    <n v="9999"/>
    <n v="0.6"/>
    <n v="4.5999999999999996"/>
    <n v="4"/>
    <n v="1"/>
    <b v="0"/>
    <b v="0"/>
    <b v="0"/>
    <b v="0"/>
    <d v="2026-06-05T00:00:00"/>
    <n v="18.399999999999999"/>
    <n v="3999"/>
    <x v="2"/>
    <s v="4.5–5.0"/>
  </r>
  <r>
    <s v="B0FFZKFRDH"/>
    <s v="Goyal&amp;#x27;s 500 in 1 - TV Compatible Classical Handheld G5 Video Games for Kids with Many Fun and Exciting Games - Multicolour (Big Screen - 2.8 Inches)"/>
    <s v="Gaming Console"/>
    <n v="599"/>
    <n v="2499"/>
    <n v="0.76"/>
    <n v="3.1"/>
    <n v="45"/>
    <n v="1"/>
    <b v="0"/>
    <b v="0"/>
    <b v="0"/>
    <b v="0"/>
    <d v="2026-06-05T00:00:00"/>
    <n v="139.5"/>
    <n v="599"/>
    <x v="5"/>
    <s v="3.0–3.9"/>
  </r>
  <r>
    <s v="B0G5GS24GN"/>
    <s v="Casaquin R36S Retro Handheld Gaming Device, 64GB Storage with 15000+ Built-in Games, 3.5 Inch IPS Screen, Portable Linux Gaming System, Rechargeable Battery"/>
    <s v="Gaming Console"/>
    <n v="4255"/>
    <n v="5999"/>
    <n v="0.29099999999999998"/>
    <n v="4"/>
    <n v="1"/>
    <n v="1"/>
    <b v="0"/>
    <b v="0"/>
    <b v="0"/>
    <b v="0"/>
    <d v="2026-06-05T00:00:00"/>
    <n v="4"/>
    <n v="4255"/>
    <x v="2"/>
    <s v="4.0–4.4"/>
  </r>
  <r>
    <s v="B0FPFXCKF1"/>
    <s v="VGRASSP Two Player 400 in 1 Handheld Video Game Console for Kids â€“ Retro Portable Console with Built-in Classic Games, Rechargeable Battery, Gift for Boys &amp;amp; Girls - Multicolor"/>
    <s v="Gaming Console"/>
    <n v="679"/>
    <n v="1299"/>
    <n v="0.47699999999999998"/>
    <n v="3.5"/>
    <n v="25"/>
    <n v="1"/>
    <b v="0"/>
    <b v="0"/>
    <b v="0"/>
    <b v="0"/>
    <d v="2026-06-05T00:00:00"/>
    <n v="87.5"/>
    <n v="679"/>
    <x v="5"/>
    <s v="3.0–3.9"/>
  </r>
  <r>
    <s v="B0DYKCD2GV"/>
    <s v="R36MAX Retro Handheld Game Console, 4.0 inch IPS Screen, More Than 20 Emulator and 18000+ Games, Portable Hand Held Open Source Linux System Video Game Console (128Gb Translucent Blue)"/>
    <s v="Gaming Console"/>
    <n v="4985"/>
    <n v="9990"/>
    <n v="0.501"/>
    <n v="4"/>
    <n v="69"/>
    <n v="1"/>
    <b v="0"/>
    <b v="0"/>
    <b v="0"/>
    <b v="0"/>
    <d v="2026-06-05T00:00:00"/>
    <n v="276"/>
    <n v="4985"/>
    <x v="2"/>
    <s v="4.0–4.4"/>
  </r>
  <r>
    <s v="B0FNKLG46G"/>
    <s v="2025 New Edition | Wireless for TV HDMI Gaming Plug &amp;amp; Play Video Game 4K HD Game Stick| Wireless Stick with Game Built-in 22,000+ Games &amp;amp; 64Gb, 23 Emu. TV Gaming Console 5 Years to 17 Years (Kids)"/>
    <s v="Gaming Console"/>
    <n v="1899"/>
    <n v="3999"/>
    <n v="0.52500000000000002"/>
    <n v="3"/>
    <n v="2"/>
    <n v="1"/>
    <b v="0"/>
    <b v="0"/>
    <b v="0"/>
    <b v="0"/>
    <d v="2026-06-05T00:00:00"/>
    <n v="6"/>
    <n v="1899"/>
    <x v="2"/>
    <s v="3.0–3.9"/>
  </r>
  <r>
    <s v="B0GPCXQM4Y"/>
    <s v="Parteet Rechargeable Pocket Video Game for Kids 400 in 1 Retro Game Box Console Handheld Game Box with TV Output - (Color and Design Will be Send as per Stock)"/>
    <s v="Gaming Console"/>
    <n v="525"/>
    <n v="999"/>
    <n v="0.47399999999999998"/>
    <n v="3"/>
    <n v="5"/>
    <n v="1"/>
    <b v="0"/>
    <b v="0"/>
    <b v="0"/>
    <b v="0"/>
    <d v="2026-06-05T00:00:00"/>
    <n v="15"/>
    <n v="525"/>
    <x v="5"/>
    <s v="3.0–3.9"/>
  </r>
  <r>
    <s v="B0GZSBDYNF"/>
    <s v="J36 Ultra Handheld Gaming Console with | WiFi &amp;amp; YouTube |3.5 Inch IPS HD Display, 64 GB, 30,000+ Games, Rechargeable Battery 20+ Emulator Hand Video Game, RGB joystick lighting, Built-in YouTube support (Black)"/>
    <s v="Gaming Console"/>
    <n v="4499"/>
    <n v="6990"/>
    <n v="0.35599999999999998"/>
    <n v="5"/>
    <n v="1"/>
    <n v="1"/>
    <b v="0"/>
    <b v="0"/>
    <b v="0"/>
    <b v="0"/>
    <d v="2026-06-05T00:00:00"/>
    <n v="5"/>
    <n v="4499"/>
    <x v="2"/>
    <s v="4.5–5.0"/>
  </r>
  <r>
    <s v="B0FYQG2KGX"/>
    <s v="XF40H Handheld Game Console, 64GB Retro Gaming Device with 4.0 Inch 4K HD IPS Screen, 20000+ Preloaded Games, Linux System, Inbuilt WiFi (Black)"/>
    <s v="Gaming Console"/>
    <n v="4990"/>
    <n v="6990"/>
    <n v="0.28599999999999998"/>
    <n v="3.5"/>
    <n v="2"/>
    <n v="1"/>
    <b v="0"/>
    <b v="0"/>
    <b v="0"/>
    <b v="0"/>
    <d v="2026-06-05T00:00:00"/>
    <n v="7"/>
    <n v="4990"/>
    <x v="2"/>
    <s v="3.0–3.9"/>
  </r>
  <r>
    <s v="B0FMRF49MG"/>
    <s v="2026 Wireless TV Game Console Stick 4K, with Built-in 9+ Emulators, 21,000+ Games, 4k Hdmi Output &amp;amp; 2.4GHz Controller, Nostalgic Gaming I Retro Game I (for All Kids Edition)"/>
    <s v="Gaming Console"/>
    <n v="2539"/>
    <n v="2999"/>
    <n v="0.153"/>
    <n v="2.6"/>
    <n v="9"/>
    <n v="1"/>
    <b v="0"/>
    <b v="0"/>
    <b v="0"/>
    <b v="0"/>
    <d v="2026-06-05T00:00:00"/>
    <n v="23.400000000000002"/>
    <n v="2539"/>
    <x v="2"/>
    <s v="2.0–2.9"/>
  </r>
  <r>
    <s v="B0GHX1T4QN"/>
    <s v="Domenico Retro Handheld Gaming Console, Video Game for Kids, 3 Iinch Display, 400 Games, TV Compatible, Gaming Console for Kids and Adults (Color As Per Availability)"/>
    <s v="Gaming Console"/>
    <n v="545"/>
    <n v="1999"/>
    <n v="0.72699999999999998"/>
    <n v="4"/>
    <n v="6"/>
    <n v="1"/>
    <b v="0"/>
    <b v="0"/>
    <b v="0"/>
    <b v="0"/>
    <d v="2026-06-05T00:00:00"/>
    <n v="24"/>
    <n v="545"/>
    <x v="5"/>
    <s v="4.0–4.4"/>
  </r>
  <r>
    <s v="B0GJ5HB23T"/>
    <s v="Retro Gaming Console R36S Handheld with 10000+ Preloaded Games, 3200mAh Battery, 4K Ultra HD Output, Portable Game Box for Travel &amp;amp; Home"/>
    <s v="Gaming Console"/>
    <n v="3999"/>
    <n v="9999"/>
    <n v="0.6"/>
    <n v="5"/>
    <n v="2"/>
    <n v="1"/>
    <b v="0"/>
    <b v="0"/>
    <b v="0"/>
    <b v="0"/>
    <d v="2026-06-05T00:00:00"/>
    <n v="10"/>
    <n v="3999"/>
    <x v="2"/>
    <s v="4.5–5.0"/>
  </r>
  <r>
    <s v="B0FPQLJGYN"/>
    <s v="Cubonic VividGo MI7 Portable Gaming Console, All-in-One Gaming Powerhouse, 4.3-Inch HD Display, 20000+ Pre-Installed Games, Dual Joysticks, Expandable Storage, Multimedia Hub"/>
    <s v="Gaming Console"/>
    <n v="5999"/>
    <n v="10999"/>
    <n v="0.45500000000000002"/>
    <n v="5"/>
    <n v="1"/>
    <n v="1"/>
    <b v="0"/>
    <b v="0"/>
    <b v="0"/>
    <b v="0"/>
    <d v="2026-06-05T00:00:00"/>
    <n v="5"/>
    <n v="5999"/>
    <x v="0"/>
    <s v="4.5–5.0"/>
  </r>
  <r>
    <s v="B0FCYRXY9M"/>
    <s v="VikriDA G7 Retro 3.5-Inch LCD Color Screen Handheld Game with Gamepad Support Console Mini Ultra-Thin 666 Built-in Games Player Gift for Kids - Multicolor"/>
    <s v="Gaming Console"/>
    <n v="1289"/>
    <n v="1999"/>
    <n v="0.35499999999999998"/>
    <n v="4"/>
    <n v="126"/>
    <n v="1"/>
    <b v="0"/>
    <b v="0"/>
    <b v="0"/>
    <b v="0"/>
    <d v="2026-06-05T00:00:00"/>
    <n v="504"/>
    <n v="1289"/>
    <x v="2"/>
    <s v="4.0–4.4"/>
  </r>
  <r>
    <s v="B0FPFYXJGW"/>
    <s v="VGRASSP Two Player 400 in 1 Handheld Video Game Console for Kids â€“ Retro Portable Console with Built-in Classic Games, Rechargeable Battery, Gift for Boys &amp;amp; Girls - Multicolor"/>
    <s v="Gaming Console"/>
    <n v="679"/>
    <n v="1999"/>
    <n v="0.66"/>
    <n v="3.3"/>
    <n v="60"/>
    <n v="1"/>
    <b v="0"/>
    <b v="0"/>
    <b v="0"/>
    <b v="0"/>
    <d v="2026-06-05T00:00:00"/>
    <n v="198"/>
    <n v="679"/>
    <x v="5"/>
    <s v="3.0–3.9"/>
  </r>
  <r>
    <s v="B0CPPJMC54"/>
    <s v="NextTech 2026 Retro Handheld Console with 3.5&amp;quot; HD Display | Plug &amp;amp; Play Portable Gaming Device | Built-in Classic Arcade Games | Compact Mini Game Console for Kids, Teens &amp;amp; Adults"/>
    <s v="Gaming Console"/>
    <n v="3999"/>
    <n v="6999"/>
    <n v="0.42899999999999999"/>
    <n v="3.4"/>
    <n v="37"/>
    <n v="1"/>
    <b v="0"/>
    <b v="0"/>
    <b v="0"/>
    <b v="0"/>
    <d v="2026-06-05T00:00:00"/>
    <n v="125.8"/>
    <n v="3999"/>
    <x v="2"/>
    <s v="3.0–3.9"/>
  </r>
  <r>
    <s v="B0G8JRLG9D"/>
    <s v="POWERNRI X7 Handheld Game Console with 10000+ Built-in Retro Games, Portable PSP Style Gaming Device, 8GB Memory, MP5 Multimedia Player for Kids &amp;amp; Adults"/>
    <s v="Gaming Console"/>
    <n v="3999"/>
    <n v="7999"/>
    <n v="0.5"/>
    <n v="3.6"/>
    <n v="5"/>
    <n v="1"/>
    <b v="0"/>
    <b v="0"/>
    <b v="0"/>
    <b v="0"/>
    <d v="2026-06-05T00:00:00"/>
    <n v="18"/>
    <n v="3999"/>
    <x v="2"/>
    <s v="3.0–3.9"/>
  </r>
  <r>
    <s v="B0H1H33KGP"/>
    <s v="Casaquin GS5 Pro 4K Retro Video Game Console for TV | 22,000+ Built-in Games | 23 Emulators | Plug &amp;amp; Play Gaming Stick | Dual Wireless Controllers | 4K Ultra HD HDMI Game Console for Kids &amp;amp; Adults"/>
    <s v="Gaming Console"/>
    <n v="5999"/>
    <n v="9999"/>
    <n v="0.4"/>
    <n v="5"/>
    <n v="1"/>
    <n v="1"/>
    <b v="0"/>
    <b v="0"/>
    <b v="0"/>
    <b v="0"/>
    <d v="2026-06-05T00:00:00"/>
    <n v="5"/>
    <n v="5999"/>
    <x v="0"/>
    <s v="4.5–5.0"/>
  </r>
  <r>
    <s v="B0FP1KZR2S"/>
    <s v="VGRASSP Two Player 400 in 1 Handheld Video Game Console for Kids â€“ Retro Portable Console with Built-in Classic Games, Rechargeable Battery, Gift for Boys &amp;amp; Girls - Color As Per Stock"/>
    <s v="Gaming Console"/>
    <n v="679"/>
    <n v="1999"/>
    <n v="0.66"/>
    <n v="3.3"/>
    <n v="106"/>
    <n v="1"/>
    <b v="0"/>
    <b v="0"/>
    <b v="0"/>
    <b v="0"/>
    <d v="2026-06-05T00:00:00"/>
    <n v="349.79999999999995"/>
    <n v="679"/>
    <x v="5"/>
    <s v="3.0–3.9"/>
  </r>
  <r>
    <s v="B0FR451Q6T"/>
    <s v="Cubonic CrystalPlay R36S Retro Gaming Console, Transparent PixelGlass, 3.5-Inch LCD Screen, RK3326 Quad-Core, 15000+ Games, Dual Joystick, Support MAX 256GB Storage, 3000mAh Battery (black)"/>
    <s v="Gaming Console"/>
    <n v="3998"/>
    <n v="7999"/>
    <n v="0.5"/>
    <n v="3.5"/>
    <n v="11"/>
    <n v="1"/>
    <b v="0"/>
    <b v="0"/>
    <b v="0"/>
    <b v="0"/>
    <d v="2026-06-05T00:00:00"/>
    <n v="38.5"/>
    <n v="3998"/>
    <x v="2"/>
    <s v="3.0–3.9"/>
  </r>
  <r>
    <s v="B0GZLQ5L55"/>
    <s v="gamesoul R50S Retro Game Console, 5 Inch Emulator System, 64 GB, 15000+ Preinstalled Video Games"/>
    <s v="Gaming Console"/>
    <n v="4930"/>
    <n v="9990"/>
    <n v="0.50700000000000001"/>
    <m/>
    <n v="0"/>
    <n v="1"/>
    <b v="0"/>
    <b v="0"/>
    <b v="0"/>
    <b v="0"/>
    <d v="2026-06-05T00:00:00"/>
    <s v=""/>
    <n v="4930"/>
    <x v="2"/>
    <s v="Not Rated"/>
  </r>
  <r>
    <s v="B0FJ8C5GGS"/>
    <s v="Maizic Smarthome G5 500 in 1 Retro Game Box Only for 1 Player, 3 Inch Display, Mini Handheld Classic Games, Built-in Games Rechargeable, Portable, Video Game for Kids (Green)"/>
    <s v="Gaming Console"/>
    <n v="599"/>
    <n v="2000"/>
    <n v="0.7"/>
    <n v="4.2"/>
    <n v="6"/>
    <n v="1"/>
    <b v="0"/>
    <b v="0"/>
    <b v="0"/>
    <b v="0"/>
    <d v="2026-06-05T00:00:00"/>
    <n v="25.200000000000003"/>
    <n v="599"/>
    <x v="5"/>
    <s v="4.0–4.4"/>
  </r>
  <r>
    <s v="B0G3H32FGQ"/>
    <s v="SMARTCAM 3.0 Inch Portable Handheld Video Game Console with Preloaded Games, Slim Gaming Player for Kids, Fun Gift Option"/>
    <s v="Gaming Console"/>
    <n v="589"/>
    <n v="1999"/>
    <n v="0.70499999999999996"/>
    <m/>
    <n v="0"/>
    <n v="1"/>
    <b v="0"/>
    <b v="0"/>
    <b v="0"/>
    <b v="0"/>
    <d v="2026-06-05T00:00:00"/>
    <s v=""/>
    <n v="589"/>
    <x v="5"/>
    <s v="Not Rated"/>
  </r>
  <r>
    <s v="B0FMSMSWH2"/>
    <s v="New World Rechargeable Pocket Video Game for Kids, Retro Video Game Box Handheld Console Game Box with TV Output"/>
    <s v="Gaming Console"/>
    <n v="799"/>
    <m/>
    <m/>
    <n v="3.4"/>
    <n v="11"/>
    <n v="2"/>
    <b v="0"/>
    <b v="0"/>
    <b v="0"/>
    <b v="0"/>
    <d v="2026-06-05T00:00:00"/>
    <n v="37.4"/>
    <n v="799"/>
    <x v="5"/>
    <s v="3.0–3.9"/>
  </r>
  <r>
    <s v="B0GXZ7PMH9"/>
    <s v="CHG Handheld Video Game Console for Kids, Built-in Retro Games | 400 in 1 Console | Indoor Games for Kids Ages 7 to 15 | Gift for Boys and Girls | Portable Fun for Travel and Home"/>
    <s v="Gaming Console"/>
    <n v="599"/>
    <n v="1999"/>
    <n v="0.7"/>
    <m/>
    <n v="0"/>
    <n v="1"/>
    <b v="0"/>
    <b v="0"/>
    <b v="0"/>
    <b v="0"/>
    <d v="2026-06-05T00:00:00"/>
    <s v=""/>
    <n v="599"/>
    <x v="5"/>
    <s v="Not Rated"/>
  </r>
  <r>
    <s v="B09YH82G14"/>
    <s v="VGRASSP 400 in 1 Mini Video Game Toy for Kids - Portable Retro Handheld Game Console with Rechargeable Battery - AV Output TV Compatible - Color and Design As Per Stock (Modern) (Classic)"/>
    <s v="Gaming Console"/>
    <n v="521"/>
    <n v="1299"/>
    <n v="0.59899999999999998"/>
    <n v="3.4"/>
    <n v="2323"/>
    <n v="1"/>
    <b v="0"/>
    <b v="0"/>
    <b v="0"/>
    <b v="0"/>
    <d v="2026-06-05T00:00:00"/>
    <n v="7898.2"/>
    <n v="521"/>
    <x v="5"/>
    <s v="3.0–3.9"/>
  </r>
  <r>
    <s v="B0GRBT3XRX"/>
    <s v="Smartcam R36S Handheld Gaming Console with 3.5â€ HD Screen | 15000+ Retro Games | 21 Emulators | Dual Joystick | 3500mAh Battery | Save &amp;amp; Load | Portable Retro Game Player"/>
    <s v="Gaming Console"/>
    <n v="3519"/>
    <n v="6999"/>
    <n v="0.497"/>
    <n v="3"/>
    <n v="2"/>
    <n v="1"/>
    <b v="0"/>
    <b v="0"/>
    <b v="0"/>
    <b v="0"/>
    <d v="2026-06-05T00:00:00"/>
    <n v="6"/>
    <n v="3519"/>
    <x v="2"/>
    <s v="3.0–3.9"/>
  </r>
  <r>
    <s v="B0GWM9WT9H"/>
    <s v="Kidsmate Handheld Gaming Console Video Game for Kids with 666 Built-in Retro Games | Rechargeable Battery, Compact Design with TV Connectivity for Big Screen Play | Ideal for Fun &amp;amp; Learning (Green)"/>
    <s v="Gaming Console"/>
    <n v="1099"/>
    <n v="2999"/>
    <n v="0.63400000000000001"/>
    <n v="3.6"/>
    <n v="18"/>
    <n v="1"/>
    <b v="0"/>
    <b v="0"/>
    <b v="0"/>
    <b v="0"/>
    <d v="2026-06-05T00:00:00"/>
    <n v="64.8"/>
    <n v="1099"/>
    <x v="2"/>
    <s v="3.0–3.9"/>
  </r>
  <r>
    <s v="B0GG6H42F5"/>
    <s v="(New) Wireless Retro Game Console Stick 4K Stick with Built-in 9+ Emulators 21,000+ Games, 4k Hdmi Output &amp;amp; 2.4GHz Wireless Controller, Retro Game Emulators, Plug &amp;amp; Play TV Video Games for All"/>
    <s v="Gaming Console"/>
    <n v="2549"/>
    <n v="6999"/>
    <n v="0.63600000000000001"/>
    <n v="3.7"/>
    <n v="29"/>
    <n v="1"/>
    <b v="0"/>
    <b v="0"/>
    <b v="0"/>
    <b v="0"/>
    <d v="2026-06-05T00:00:00"/>
    <n v="107.30000000000001"/>
    <n v="2549"/>
    <x v="2"/>
    <s v="3.0–3.9"/>
  </r>
  <r>
    <s v="B0GPM6198K"/>
    <s v="M22 Special Edition Retro Gaming Console - Wireless Controller Gamepad- 1080P HD Graphics, 64GB Storage,Video Game TV Stick for All Ages"/>
    <s v="Gaming Console"/>
    <n v="3699"/>
    <n v="6999"/>
    <n v="0.47099999999999997"/>
    <n v="3.4"/>
    <n v="14"/>
    <n v="1"/>
    <b v="0"/>
    <b v="0"/>
    <b v="0"/>
    <b v="0"/>
    <d v="2026-06-05T00:00:00"/>
    <n v="47.6"/>
    <n v="3699"/>
    <x v="2"/>
    <s v="3.0–3.9"/>
  </r>
  <r>
    <s v="B0G6DN6W5R"/>
    <s v="Cubonic 7&amp;quot; Full HD Screen Linux System Retro Handheld Gaming Console 64GB Storage, Support 30+ Emulator Games with HDMI Output Wireless Dual Remote Controller (White)"/>
    <s v="Gaming Console"/>
    <n v="9499"/>
    <n v="17999"/>
    <n v="0.47199999999999998"/>
    <m/>
    <n v="0"/>
    <n v="1"/>
    <b v="0"/>
    <b v="0"/>
    <b v="0"/>
    <b v="0"/>
    <d v="2026-06-05T00:00:00"/>
    <s v=""/>
    <n v="9499"/>
    <x v="0"/>
    <s v="Not Rated"/>
  </r>
  <r>
    <s v="B0FPQJLZ5Q"/>
    <s v="Cubonic Mi7 Portable Gaming Console, Beige, 4.3&amp;quot; HD Display, 20000+ Preloaded Retro Games, Built-in Stereo Speakers, Expandable Storage, Classic Controls, Long Battery Life (VividGo Mi7)"/>
    <s v="Gaming Console"/>
    <n v="6199"/>
    <n v="9999"/>
    <n v="0.38"/>
    <n v="3.3"/>
    <n v="7"/>
    <n v="1"/>
    <b v="0"/>
    <b v="0"/>
    <b v="0"/>
    <b v="0"/>
    <d v="2026-06-05T00:00:00"/>
    <n v="23.099999999999998"/>
    <n v="6199"/>
    <x v="0"/>
    <s v="3.0–3.9"/>
  </r>
  <r>
    <s v="B00E9891EK"/>
    <s v="Enter Usb Game Pad With Vibration E-Gpv, PC, Gamepad"/>
    <s v="Gaming Console"/>
    <n v="358"/>
    <n v="750"/>
    <n v="0.52300000000000002"/>
    <n v="3.4"/>
    <n v="3595"/>
    <n v="1"/>
    <b v="0"/>
    <b v="0"/>
    <b v="0"/>
    <b v="0"/>
    <d v="2026-06-05T00:00:00"/>
    <n v="12223"/>
    <n v="358"/>
    <x v="4"/>
    <s v="3.0–3.9"/>
  </r>
  <r>
    <s v="B0GRVX4TDV"/>
    <s v="400 in 1 Mini Retro Handheld Game Console for Kids, Portable Video Game Toy with Rechargeable Battery, AV Output TV Compatible Classic Arcade Gaming Device (Multicolour)"/>
    <s v="Gaming Console"/>
    <n v="548"/>
    <n v="1299"/>
    <n v="0.57799999999999996"/>
    <m/>
    <n v="0"/>
    <n v="1"/>
    <b v="0"/>
    <b v="0"/>
    <b v="0"/>
    <b v="0"/>
    <d v="2026-06-05T00:00:00"/>
    <s v=""/>
    <n v="548"/>
    <x v="5"/>
    <s v="Not Rated"/>
  </r>
  <r>
    <s v="B0FKPYJKFG"/>
    <s v="New 2025 Edition R36S Handheld Console Video Game | HD Screen | Portable &amp;amp; Rechargeable | Built-in 15000+ Games &amp;amp; 64 GB | 20 Emulators | Video Games for All Age Group, Purple"/>
    <s v="Gaming Console"/>
    <n v="3990"/>
    <n v="7999"/>
    <n v="0.501"/>
    <n v="2.7"/>
    <n v="7"/>
    <n v="1"/>
    <b v="0"/>
    <b v="0"/>
    <b v="0"/>
    <b v="0"/>
    <d v="2026-06-05T00:00:00"/>
    <n v="18.900000000000002"/>
    <n v="3990"/>
    <x v="2"/>
    <s v="2.0–2.9"/>
  </r>
  <r>
    <s v="B0H22CH5LJ"/>
    <s v="G90 7-Inch Full HD Handheld Video Game Console with 21+ Emulators, 64GB Preloaded Games, Wireless Gaming Controller, Professional Gaming Chip, Portable Retro Arcade Gaming Console for Kids &amp;amp; Adults (Red &amp;amp; Blue)"/>
    <s v="Gaming Console"/>
    <n v="7999"/>
    <n v="10999"/>
    <n v="0.27300000000000002"/>
    <m/>
    <n v="0"/>
    <n v="1"/>
    <b v="0"/>
    <b v="0"/>
    <b v="0"/>
    <b v="0"/>
    <d v="2026-06-05T00:00:00"/>
    <s v=""/>
    <n v="7999"/>
    <x v="0"/>
    <s v="Not Rated"/>
  </r>
  <r>
    <s v="B0G1V9LF2N"/>
    <s v="Gagon Traders Handheld Gaming Console for Kids &amp;amp; Adults | 520 Classic Built-in Games | Retro Video Game Player | Portable, Rechargeable, TV Output | Toy &amp;amp; Gift for Boys Girls Ages 6-14 | Mini Game Box"/>
    <s v="Gaming Console"/>
    <n v="859"/>
    <n v="1589"/>
    <n v="0.45900000000000002"/>
    <n v="5"/>
    <n v="3"/>
    <n v="1"/>
    <b v="0"/>
    <b v="0"/>
    <b v="0"/>
    <b v="0"/>
    <d v="2026-06-05T00:00:00"/>
    <n v="15"/>
    <n v="859"/>
    <x v="5"/>
    <s v="4.5–5.0"/>
  </r>
  <r>
    <s v="B0FP19Y8SW"/>
    <s v="VGRASSP 400 in 1 Handheld Video Game Console for Kids â€“ Retro Portable Console with Built-in Classic Games, Rechargeable Battery, Gift for Boys &amp;amp; Girls - Multicolor"/>
    <s v="Gaming Console"/>
    <n v="585"/>
    <n v="1299"/>
    <n v="0.55000000000000004"/>
    <n v="3.6"/>
    <n v="22"/>
    <n v="1"/>
    <b v="0"/>
    <b v="0"/>
    <b v="0"/>
    <b v="0"/>
    <d v="2026-06-05T00:00:00"/>
    <n v="79.2"/>
    <n v="585"/>
    <x v="5"/>
    <s v="3.0–3.9"/>
  </r>
  <r>
    <s v="B0FMYSB4SD"/>
    <s v="HZ New 2025 Edition R36S Handheld Console Video Game | HD Screen | Portable &amp;amp; Rechargeable | Built-in 15000+ Games &amp;amp; 64 GB | 20 Emulators | Games for All Age Group (Colour As Per Stock)"/>
    <s v="Gaming Console"/>
    <n v="4490"/>
    <n v="9999"/>
    <n v="0.55100000000000005"/>
    <n v="3.7"/>
    <n v="8"/>
    <n v="1"/>
    <b v="0"/>
    <b v="0"/>
    <b v="0"/>
    <b v="0"/>
    <d v="2026-06-05T00:00:00"/>
    <n v="29.6"/>
    <n v="4490"/>
    <x v="2"/>
    <s v="3.0–3.9"/>
  </r>
  <r>
    <s v="B0H2LXXMY6"/>
    <s v="Handheld Game Console HN-R36S , 15k+ Gamees 3.5-inch IPS Display, 64GB Storage, 1 Ram Chip (1GB) 8+ Hour Battery Life (Purple)"/>
    <s v="Gaming Console"/>
    <n v="3990"/>
    <n v="9999"/>
    <n v="0.60099999999999998"/>
    <n v="5"/>
    <n v="2"/>
    <n v="1"/>
    <b v="0"/>
    <b v="0"/>
    <b v="0"/>
    <b v="0"/>
    <d v="2026-06-05T00:00:00"/>
    <n v="10"/>
    <n v="3990"/>
    <x v="2"/>
    <s v="4.5–5.0"/>
  </r>
  <r>
    <s v="B0D2JGYX3F"/>
    <s v="Nex Playground Game System, Indoor Family Game Night, Fun Games &amp;amp; Physical Play, Unique AI-Powered Motion Tracking Video Game Console, Transforms Living Room into a Family or Party Games Space"/>
    <s v="Gaming Console"/>
    <n v="39888"/>
    <n v="69999"/>
    <n v="0.43"/>
    <n v="4.7"/>
    <n v="4339"/>
    <n v="1"/>
    <b v="0"/>
    <b v="0"/>
    <b v="0"/>
    <b v="0"/>
    <d v="2026-06-05T00:00:00"/>
    <n v="20393.3"/>
    <n v="39888"/>
    <x v="1"/>
    <s v="4.5–5.0"/>
  </r>
  <r>
    <s v="B0DM96R9T4"/>
    <s v="Sameo Handheld Video Game Console, Dreamboy Retro Mini Game with 500 Classic Retro Game TV Compatible for Kids, Rechargeable 8 Bit Classic (Ice Green)"/>
    <s v="Gaming Console"/>
    <n v="1579"/>
    <n v="1599"/>
    <n v="1.2999999999999999E-2"/>
    <n v="3.7"/>
    <n v="36"/>
    <n v="1"/>
    <b v="0"/>
    <b v="0"/>
    <b v="0"/>
    <b v="0"/>
    <d v="2026-06-05T00:00:00"/>
    <n v="133.20000000000002"/>
    <n v="1579"/>
    <x v="2"/>
    <s v="3.0–3.9"/>
  </r>
  <r>
    <s v="B0CWNW1FSG"/>
    <s v="Sameo iPlay+ 32 Bit Motion TV Video Game Console With All New Motion Gun with 1056 Built in Games 33 Motion Sports Games,34 Puzzle Games, 69 Casual Game, 20 Shooting Game"/>
    <s v="Gaming Console"/>
    <n v="6990"/>
    <m/>
    <m/>
    <n v="3.8"/>
    <n v="81"/>
    <n v="1"/>
    <b v="0"/>
    <b v="0"/>
    <b v="0"/>
    <b v="0"/>
    <d v="2026-06-05T00:00:00"/>
    <n v="307.8"/>
    <n v="6990"/>
    <x v="0"/>
    <s v="3.0–3.9"/>
  </r>
  <r>
    <s v="B0H27854GY"/>
    <s v="G90 7-Inch Full HD Handheld Video Game Console with 21+ Emulators, 64GB Preloaded Games, Wireless Gaming Controller, Professional Gaming Chip, Portable Retro Arcade Gaming Console for Kids &amp;amp; Adults (Black)"/>
    <s v="Gaming Console"/>
    <n v="7999"/>
    <n v="10999"/>
    <n v="0.27300000000000002"/>
    <m/>
    <n v="0"/>
    <n v="1"/>
    <b v="0"/>
    <b v="0"/>
    <b v="0"/>
    <b v="0"/>
    <d v="2026-06-05T00:00:00"/>
    <s v=""/>
    <n v="7999"/>
    <x v="0"/>
    <s v="Not Rated"/>
  </r>
  <r>
    <s v="B0F5N6LWVR"/>
    <s v="Sameo Thunder NX Handheld Game Console â€“ 64GB 15000+ Games 4.5â€ IPS Display Retro Gaming Dual-Core"/>
    <s v="Gaming Console"/>
    <n v="5250"/>
    <n v="5299"/>
    <n v="8.9999999999999993E-3"/>
    <n v="3.5"/>
    <n v="3"/>
    <n v="1"/>
    <b v="0"/>
    <b v="0"/>
    <b v="0"/>
    <b v="0"/>
    <d v="2026-06-05T00:00:00"/>
    <n v="10.5"/>
    <n v="5250"/>
    <x v="0"/>
    <s v="3.0–3.9"/>
  </r>
  <r>
    <s v="B0GWQ7YQPB"/>
    <s v="PICSTAR GS5 Pro Classic TV Video Game Console with 30000 Games and 1080 Output with 53 Simulators for PSP Games"/>
    <s v="Gaming Console"/>
    <n v="4990"/>
    <n v="6999"/>
    <n v="0.28699999999999998"/>
    <n v="3.3"/>
    <n v="16"/>
    <n v="1"/>
    <b v="0"/>
    <b v="0"/>
    <b v="0"/>
    <b v="0"/>
    <d v="2026-06-05T00:00:00"/>
    <n v="52.8"/>
    <n v="4990"/>
    <x v="2"/>
    <s v="3.0–3.9"/>
  </r>
  <r>
    <s v="B0CR8GPW2V"/>
    <s v="NextTech 4K Plug &amp;amp; Play Retro Gaming Console | Built-in Classic Games | HDMI TV Compatible Game Stick | Dual Wireless Gamepads | Perfect Family &amp;amp; Kids Entertainment Device"/>
    <s v="Gaming Console"/>
    <n v="899"/>
    <n v="1599"/>
    <n v="0.438"/>
    <n v="4.8"/>
    <n v="4"/>
    <n v="1"/>
    <b v="0"/>
    <b v="0"/>
    <b v="0"/>
    <b v="0"/>
    <d v="2026-06-05T00:00:00"/>
    <n v="19.2"/>
    <n v="899"/>
    <x v="5"/>
    <s v="4.5–5.0"/>
  </r>
  <r>
    <s v="B0FCR5ZD7R"/>
    <s v="R36MAX Retro Gaming Console, Handheld Game Console with 4000mAh Battery 4.0â€IPS Screen, Open Source Linux System, 64GB TF Card Portable Pocket Arcade, Transparent Black"/>
    <s v="Gaming Console"/>
    <n v="4900"/>
    <n v="6990"/>
    <n v="0.29899999999999999"/>
    <n v="3.2"/>
    <n v="75"/>
    <n v="1"/>
    <b v="0"/>
    <b v="0"/>
    <b v="0"/>
    <b v="0"/>
    <d v="2026-06-05T00:00:00"/>
    <n v="240"/>
    <n v="4900"/>
    <x v="2"/>
    <s v="3.0–3.9"/>
  </r>
  <r>
    <s v="B0H26B34WQ"/>
    <s v="LEROKAS J36 Ultra Handheld Gaming Console, Portable Retro Game Player, RGB Dual Joysticks, Orange"/>
    <s v="Gaming Console"/>
    <n v="4999"/>
    <n v="6999"/>
    <n v="0.28599999999999998"/>
    <m/>
    <n v="0"/>
    <n v="1"/>
    <b v="0"/>
    <b v="0"/>
    <b v="0"/>
    <b v="0"/>
    <d v="2026-06-05T00:00:00"/>
    <s v=""/>
    <n v="4999"/>
    <x v="2"/>
    <s v="Not Rated"/>
  </r>
  <r>
    <s v="B0GDZ42HK1"/>
    <s v="Gagon Traders 8 Bit TV Video Game Console with 2 Controllers, Gun, AV Cable, Adapter, Grey, Retro Gaming System With Two Free Cassettes"/>
    <s v="Gaming Console"/>
    <n v="1799"/>
    <n v="5889"/>
    <n v="0.69499999999999995"/>
    <m/>
    <n v="0"/>
    <n v="1"/>
    <b v="0"/>
    <b v="0"/>
    <b v="0"/>
    <b v="0"/>
    <d v="2026-06-05T00:00:00"/>
    <s v=""/>
    <n v="1799"/>
    <x v="2"/>
    <s v="Not Rated"/>
  </r>
  <r>
    <s v="B0GWMMDBKP"/>
    <s v="PICSTAR GS5Pro Retro Gaming Console - Wireless Controller Gamepad- 1080P HD Graphics, 64GB Storage,Video Game TV Stick for All Ages"/>
    <s v="Gaming Console"/>
    <n v="4849"/>
    <n v="6999"/>
    <n v="0.307"/>
    <n v="4.3"/>
    <n v="9"/>
    <n v="1"/>
    <b v="0"/>
    <b v="0"/>
    <b v="0"/>
    <b v="0"/>
    <d v="2026-06-05T00:00:00"/>
    <n v="38.699999999999996"/>
    <n v="4849"/>
    <x v="2"/>
    <s v="4.0–4.4"/>
  </r>
  <r>
    <s v="B0DHQXRH1S"/>
    <s v="iNext INT-333 Retro Gaming Console - 98,800 Pre-Installed Games | Plug &amp;amp; Play | HD Output | 1 Player &amp;amp; User vs. Computer Mode | for Kids, Adults &amp;amp; Family Entertainment"/>
    <s v="Gaming Console"/>
    <n v="499"/>
    <n v="999"/>
    <n v="0.501"/>
    <n v="1"/>
    <n v="1"/>
    <n v="1"/>
    <b v="0"/>
    <b v="0"/>
    <b v="0"/>
    <b v="0"/>
    <d v="2026-06-05T00:00:00"/>
    <n v="1"/>
    <n v="499"/>
    <x v="4"/>
    <s v="Below 2.0"/>
  </r>
  <r>
    <s v="B0F6FV8BSR"/>
    <s v="Endzone Video Games For Kids 520 in 1 Controller Gamepad Video Game, Retro Gaming Console, Gameboy Age 7, Digital Game Player, Pocket Gamer, Handheld Gaming Console,"/>
    <s v="Gaming Console"/>
    <n v="777"/>
    <n v="1499"/>
    <n v="0.48199999999999998"/>
    <n v="3.8"/>
    <n v="29"/>
    <n v="1"/>
    <b v="0"/>
    <b v="0"/>
    <b v="0"/>
    <b v="0"/>
    <d v="2026-06-05T00:00:00"/>
    <n v="110.19999999999999"/>
    <n v="777"/>
    <x v="5"/>
    <s v="3.0–3.9"/>
  </r>
  <r>
    <s v="B0H1QKTDBT"/>
    <s v="R36S Retro Handheld Video Game Console 3.5 inch Retro Handheld Video Games Consoles Built-in Rechargeable Battery Portable Style Hand Held Game Consoles"/>
    <s v="Gaming Console"/>
    <n v="3399"/>
    <n v="9999"/>
    <n v="0.66"/>
    <m/>
    <n v="0"/>
    <n v="1"/>
    <b v="0"/>
    <b v="0"/>
    <b v="0"/>
    <b v="0"/>
    <d v="2026-06-05T00:00:00"/>
    <s v=""/>
    <n v="3399"/>
    <x v="2"/>
    <s v="Not Rated"/>
  </r>
  <r>
    <s v="B0H21QN4GX"/>
    <s v="New 2026 PoweNri M8 Retro Game Console HDMI for TV | Plug &amp;amp; Play Gaming Stick with Wireless Controllers | 1080p HD Display | 2 Player Support | Compact Gaming Device | Black"/>
    <s v="Gaming Console"/>
    <n v="1999"/>
    <n v="3999"/>
    <n v="0.5"/>
    <m/>
    <n v="0"/>
    <n v="1"/>
    <b v="0"/>
    <b v="0"/>
    <b v="0"/>
    <b v="0"/>
    <d v="2026-06-05T00:00:00"/>
    <s v=""/>
    <n v="1999"/>
    <x v="2"/>
    <s v="Not Rated"/>
  </r>
  <r>
    <s v="B0FFTCW4C7"/>
    <s v="BELOXY Handheld Gaming Console for Kids &amp;amp; Adults | 520 Classic Built-in Games | Retro Video Game Player | Portable, Rechargeable, TV Output | Toy &amp;amp; Gift for Boys Girls Ages 6-14 | Mini Game Box"/>
    <s v="Gaming Console"/>
    <n v="799"/>
    <n v="1599"/>
    <n v="0.5"/>
    <n v="3.6"/>
    <n v="42"/>
    <n v="1"/>
    <b v="0"/>
    <b v="0"/>
    <b v="0"/>
    <b v="0"/>
    <d v="2026-06-05T00:00:00"/>
    <n v="151.20000000000002"/>
    <n v="799"/>
    <x v="5"/>
    <s v="3.0–3.9"/>
  </r>
  <r>
    <s v="B0F7H338CZ"/>
    <s v="BELOXY Handheld 400 in 1 Video Game for Kids, Rechargeable Game Box with TV Output &amp;amp; with Gaming Console Style 3, Red"/>
    <s v="Gaming Console"/>
    <n v="592"/>
    <n v="1399"/>
    <n v="0.57699999999999996"/>
    <n v="3.3"/>
    <n v="179"/>
    <n v="1"/>
    <b v="0"/>
    <b v="0"/>
    <b v="0"/>
    <b v="0"/>
    <d v="2026-06-05T00:00:00"/>
    <n v="590.69999999999993"/>
    <n v="592"/>
    <x v="5"/>
    <s v="3.0–3.9"/>
  </r>
  <r>
    <s v="B0DV9MB616"/>
    <s v="VOILA M33 Retro Gaming Console, Video Game Console for TV, Gaming Controller, Games Stick, Ultimate 90s Gamepad. 4k HD, 64GB. CE, ROHS, and BIS Certified, Original Unit"/>
    <s v="Gaming Console"/>
    <n v="4948"/>
    <n v="7999"/>
    <n v="0.38100000000000001"/>
    <n v="2.9"/>
    <n v="15"/>
    <n v="1"/>
    <b v="0"/>
    <b v="0"/>
    <b v="0"/>
    <b v="0"/>
    <d v="2026-06-05T00:00:00"/>
    <n v="43.5"/>
    <n v="4948"/>
    <x v="2"/>
    <s v="2.0–2.9"/>
  </r>
  <r>
    <s v="B0CY9169L2"/>
    <s v="New World an/bernic RG35XX H Retro Handheld Game Console 3.5 in IPS Screen Built-in 3300mAH Battery 64G TF Card , Classic Games Console (Black)"/>
    <s v="Gaming Console"/>
    <n v="9700"/>
    <n v="9999"/>
    <n v="0.03"/>
    <n v="3.9"/>
    <n v="15"/>
    <n v="1"/>
    <b v="0"/>
    <b v="0"/>
    <b v="0"/>
    <b v="0"/>
    <d v="2026-06-05T00:00:00"/>
    <n v="58.5"/>
    <n v="9700"/>
    <x v="0"/>
    <s v="3.0–3.9"/>
  </r>
  <r>
    <s v="B0GXPL2ZTD"/>
    <s v="Wireless Gaming Console Set compatible with GS5 Style, White and Black, 2 Controllers with USB Dongle Included"/>
    <s v="Gaming Console"/>
    <n v="4589"/>
    <n v="8999"/>
    <n v="0.49"/>
    <m/>
    <n v="0"/>
    <n v="1"/>
    <b v="0"/>
    <b v="0"/>
    <b v="0"/>
    <b v="0"/>
    <d v="2026-06-05T00:00:00"/>
    <s v=""/>
    <n v="4589"/>
    <x v="2"/>
    <s v="Not Rated"/>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s v="B0FN7QTRPY"/>
    <s v="Samsung Galaxy M07 Mobile (Black, 4GB RAM, 64GB Storage) | MediaTek Helio G99 | AnTuTu 624K | IP54| 50MP Camera | 7.6mm Slim | 5000mAh Battery | 25W Fast Charging | 6 Gen OS Upgrades | Without Charger"/>
    <x v="0"/>
    <n v="9999"/>
    <n v="10999"/>
    <n v="9.0999999999999998E-2"/>
    <n v="4.2"/>
    <n v="1550"/>
    <n v="1"/>
    <b v="0"/>
    <b v="0"/>
    <b v="0"/>
    <b v="0"/>
    <d v="2026-06-05T00:00:00"/>
    <n v="6510"/>
  </r>
  <r>
    <s v="B0GFW1BJ1D"/>
    <s v="realme C71 4G Smartphone 6GB+128GB,6.745 inch Screen, 90Hz Eye Comfort Display, 6300mAh Battery, 37MP Cameras, Unisoc T7250 Chip, IP54, Sea Blue"/>
    <x v="0"/>
    <n v="13999"/>
    <m/>
    <m/>
    <n v="3.8"/>
    <n v="303"/>
    <n v="1"/>
    <b v="0"/>
    <b v="0"/>
    <b v="0"/>
    <b v="0"/>
    <d v="2026-06-05T00:00:00"/>
    <n v="1151.3999999999999"/>
  </r>
  <r>
    <s v="B0FT7T3GZF"/>
    <s v="SAMSUNG Galaxy F07 (Green, 64 GB) (4 GB RAM)"/>
    <x v="0"/>
    <n v="10168"/>
    <n v="10999"/>
    <n v="7.5999999999999998E-2"/>
    <n v="3.7"/>
    <n v="137"/>
    <n v="1"/>
    <b v="0"/>
    <b v="0"/>
    <b v="0"/>
    <b v="0"/>
    <d v="2026-06-05T00:00:00"/>
    <n v="506.90000000000003"/>
  </r>
  <r>
    <s v="B0H1B6WTN3"/>
    <s v="realme NARZO 80 Lite 4G (Beach Gold 2026, 4GB+64GB) | 6300mAh Segment&amp;#x27;s Biggest Battery | 7.94mm Slim Design | 300% Ultra Volume | Pulse Light: 9 Colors, 5 Glow Modes | Ai Assist"/>
    <x v="0"/>
    <n v="11999"/>
    <n v="16999"/>
    <n v="0.29399999999999998"/>
    <n v="4.2"/>
    <n v="2964"/>
    <n v="1"/>
    <b v="0"/>
    <b v="0"/>
    <b v="0"/>
    <b v="0"/>
    <d v="2026-06-05T00:00:00"/>
    <n v="12448.800000000001"/>
  </r>
  <r>
    <s v="B0G49YZTTW"/>
    <s v="realme NARZO 90 5G (Carbon Black,8GB+128GB) | 7000mAh Biggest Battery | 60W Fastest Charging | 50MP Front &amp;amp; Rear AI Cameras | 4000nits Brightest Display | AI Assist | IP69 Dust &amp;amp; Water Resistance"/>
    <x v="0"/>
    <n v="19999"/>
    <m/>
    <m/>
    <n v="4.0999999999999996"/>
    <n v="978"/>
    <n v="1"/>
    <b v="0"/>
    <b v="0"/>
    <b v="1"/>
    <b v="0"/>
    <d v="2026-06-05T00:00:00"/>
    <n v="4009.7999999999997"/>
  </r>
  <r>
    <s v="B0GVYXPZBS"/>
    <s v="OnePlus Nord CE6 Lite | 8GB+128GB | Hyper Black | Segment&amp;#x27;s Fastest Dimensity 7400 Apex Processor | 7000mAh Battery | Segment&amp;#x27;s Highest 144Hz Refresh Rate | 50MP Main Camera, 4K Video Recording"/>
    <x v="0"/>
    <n v="25998"/>
    <n v="33999"/>
    <n v="0.23499999999999999"/>
    <n v="4.2"/>
    <n v="318"/>
    <n v="1"/>
    <b v="0"/>
    <b v="0"/>
    <b v="0"/>
    <b v="0"/>
    <d v="2026-06-05T00:00:00"/>
    <n v="1335.6000000000001"/>
  </r>
  <r>
    <s v="B0DX6P3RX9"/>
    <s v="Samsung Galaxy M06 5G Mobile (Sage Green, 4GB RAM, 128GB Storage) | MediaTek Dimensity 6300 | AnTuTu 623K+ | 12 5G Bands | 25W Fast Charging | 4 Gen OS Upgrades | 50MP Camera | Without Charger"/>
    <x v="0"/>
    <n v="13999"/>
    <m/>
    <m/>
    <n v="4"/>
    <n v="2865"/>
    <n v="1"/>
    <b v="0"/>
    <b v="0"/>
    <b v="0"/>
    <b v="0"/>
    <d v="2026-06-05T00:00:00"/>
    <n v="11460"/>
  </r>
  <r>
    <s v="B0GS97F668"/>
    <s v="Pro 10 -Mini 4G Smartphone 4.5&amp;quot; Display | 3GB RAM 32GB Storage (Up to 128GB) | Dual SIM | 2350mAh Battery | Type-C Charging | Android Phone for Travel, Kids &amp;amp; Backup Use | Color as per Stock"/>
    <x v="0"/>
    <n v="4999"/>
    <n v="10990"/>
    <n v="0.54500000000000004"/>
    <n v="3"/>
    <n v="6"/>
    <n v="1"/>
    <b v="0"/>
    <b v="0"/>
    <b v="0"/>
    <b v="0"/>
    <d v="2026-06-05T00:00:00"/>
    <n v="18"/>
  </r>
  <r>
    <s v="B0F8ZVRLZB"/>
    <s v="Samsung Galaxy F06 5G, Lit Voilet (6GB, 128GB)"/>
    <x v="0"/>
    <n v="14094"/>
    <n v="15499"/>
    <n v="9.0999999999999998E-2"/>
    <n v="4.2"/>
    <n v="129"/>
    <n v="12"/>
    <b v="0"/>
    <b v="0"/>
    <b v="0"/>
    <b v="0"/>
    <d v="2026-06-05T00:00:00"/>
    <n v="541.80000000000007"/>
  </r>
  <r>
    <s v="B0DYP4NYYJ"/>
    <s v="Samsung Galaxy F06 5G, Bahama Blue (4GB, 128GB)"/>
    <x v="0"/>
    <n v="12990"/>
    <n v="13999"/>
    <n v="7.1999999999999995E-2"/>
    <n v="4.0999999999999996"/>
    <n v="823"/>
    <n v="13"/>
    <b v="0"/>
    <b v="0"/>
    <b v="0"/>
    <b v="0"/>
    <d v="2026-06-05T00:00:00"/>
    <n v="3374.2999999999997"/>
  </r>
  <r>
    <s v="B0GTQ5X45R"/>
    <s v="acerpure Acerone Liquid 4G Smartphone (Blue, 4GB RAM, 64GB Storage) with 6.5&amp;quot; IPS Display, 20MP Rear Camera, 5000mAh Battery, Android 14, Octa-Core MT6765 Processor"/>
    <x v="0"/>
    <n v="7999"/>
    <n v="18900"/>
    <n v="0.57699999999999996"/>
    <n v="3.4"/>
    <n v="26"/>
    <n v="2"/>
    <b v="0"/>
    <b v="0"/>
    <b v="0"/>
    <b v="0"/>
    <d v="2026-06-05T00:00:00"/>
    <n v="88.399999999999991"/>
  </r>
  <r>
    <s v="B0GS5Y7QBF"/>
    <s v="REDMI A7 Pro 5G (Mist Blue, 4GB RAM, 64GB Storage) | Segment&amp;#x27;s Fastest Processor | Segment&amp;#x27;s Largest Battery | Segment&amp;#x27;s Largest &amp;amp; Smoothest 6.9in 120Hz Display"/>
    <x v="0"/>
    <n v="12999"/>
    <n v="15999"/>
    <n v="0.188"/>
    <n v="3.6"/>
    <n v="569"/>
    <n v="1"/>
    <b v="0"/>
    <b v="0"/>
    <b v="0"/>
    <b v="0"/>
    <d v="2026-06-05T00:00:00"/>
    <n v="2048.4"/>
  </r>
  <r>
    <s v="B0GTRHJYYF"/>
    <s v="realme narzo 100 Lite 5G (Frost Silver,4GB+128GB) | 7000mAh Titan Battery | 4 Years, Zero Lag | 144 Hz Ultra Smooth Display | 6 nm Octa-core 5G Chipset | Color Pop Design | VC Cooling"/>
    <x v="0"/>
    <n v="15998"/>
    <n v="27999"/>
    <n v="0.42899999999999999"/>
    <n v="3.9"/>
    <n v="99"/>
    <n v="1"/>
    <b v="0"/>
    <b v="0"/>
    <b v="0"/>
    <b v="0"/>
    <d v="2026-06-05T00:00:00"/>
    <n v="386.09999999999997"/>
  </r>
  <r>
    <s v="B0GN16HF5W"/>
    <s v="Samsung Galaxy M17e 5G Mobile (Blitz Blue, 6GB RAM, 128GB Storage) | Smoothest 120 Hz Refresh Rate| Monster 6000 mAh Battery | IP54 | 6 Gen OS Upgrades | AI | Gemini Live | Without Charger"/>
    <x v="0"/>
    <n v="15999"/>
    <n v="20999"/>
    <n v="0.23799999999999999"/>
    <n v="3.5"/>
    <n v="37"/>
    <n v="1"/>
    <b v="0"/>
    <b v="0"/>
    <b v="0"/>
    <b v="0"/>
    <d v="2026-06-05T00:00:00"/>
    <n v="129.5"/>
  </r>
  <r>
    <s v="B0GPDJ1PRN"/>
    <s v="OPPO K14x 5G Smartphone, 6GB RAM, 128GB Storage, ICY Blue, Dual Camera, 48-Month Fluency Protection"/>
    <x v="0"/>
    <n v="17630"/>
    <n v="23999"/>
    <n v="0.26500000000000001"/>
    <n v="3.8"/>
    <n v="34"/>
    <n v="1"/>
    <b v="0"/>
    <b v="0"/>
    <b v="0"/>
    <b v="0"/>
    <d v="2026-06-05T00:00:00"/>
    <n v="129.19999999999999"/>
  </r>
  <r>
    <s v="B0GVG27VS7"/>
    <s v="REDMI A7 Pro 4G (Black, 4GB RAM, 64GB Storage) | Segment&amp;#x27;s Slimmest Smartphone | Segment&amp;#x27;s Largest 6300mAh Battery | Segment&amp;#x27;s Largest 17.53cm and Smoothest 120Hz Display | Charger in the Box"/>
    <x v="0"/>
    <n v="12499"/>
    <n v="15999"/>
    <n v="0.219"/>
    <n v="3.5"/>
    <n v="23"/>
    <n v="2"/>
    <b v="0"/>
    <b v="0"/>
    <b v="0"/>
    <b v="0"/>
    <d v="2026-06-05T00:00:00"/>
    <n v="80.5"/>
  </r>
  <r>
    <s v="B0GRBHNCTZ"/>
    <s v="OnePlus Nord 6 | 12GB+256GB | Fresh Mint | Snapdragon 8s Gen 4 | Segment&amp;#x27;s First Stable 165FPS Gaming | Segment&amp;#x27;s Largest 9000mAh Battery | Most Complete IP Rating | Personalized AI"/>
    <x v="0"/>
    <n v="47998"/>
    <n v="56999"/>
    <n v="0.158"/>
    <n v="4.3"/>
    <n v="1180"/>
    <n v="1"/>
    <b v="0"/>
    <b v="0"/>
    <b v="0"/>
    <b v="0"/>
    <d v="2026-06-05T00:00:00"/>
    <n v="5074"/>
  </r>
  <r>
    <s v="B0GP7BD27Q"/>
    <s v="iQOO Z11x 5G (Titan Black, 6GB RAM, 128 GB Storage) | Dimensity 7400-Turbo Processor | 7200 mAh Battery | 4K Video Recording Front &amp;amp; Back | IP68 &amp;amp; IP69+ | Powered by OriginOS 6"/>
    <x v="0"/>
    <n v="22999"/>
    <n v="28999"/>
    <n v="0.20699999999999999"/>
    <n v="4.2"/>
    <n v="827"/>
    <n v="1"/>
    <b v="0"/>
    <b v="0"/>
    <b v="0"/>
    <b v="0"/>
    <d v="2026-06-05T00:00:00"/>
    <n v="3473.4"/>
  </r>
  <r>
    <s v="B0F43WXC8K"/>
    <s v="Samsung Galaxy M56 5G Mobile (Black, 8GB RAM, 128GB Storage)| Segment Slimmest | Gorilla Glass Victus+ | 10 Bit HDR Video | 50MP Camera | AI | Vapour Cooling Chamber | Lag-free Gaming| Without Charger"/>
    <x v="0"/>
    <n v="23498"/>
    <n v="33999"/>
    <n v="0.309"/>
    <n v="4.3"/>
    <n v="1943"/>
    <n v="1"/>
    <b v="0"/>
    <b v="0"/>
    <b v="0"/>
    <b v="0"/>
    <d v="2026-06-05T00:00:00"/>
    <n v="8354.9"/>
  </r>
  <r>
    <s v="B0F1D9LCK3"/>
    <s v="realme NARZO 80 Pro 5G (Speed Silver,8GB+256GB) | Segment&amp;#x27;s 1st MediaTek Dimensity 7400 Chipset | 6000mAh Titan Battery + 80W Ultra Charge | 4500nits HyperGlow Esports Display | IP69 Waterproof"/>
    <x v="0"/>
    <n v="23999"/>
    <n v="25999"/>
    <n v="7.6999999999999999E-2"/>
    <n v="4.3"/>
    <n v="2832"/>
    <n v="1"/>
    <b v="0"/>
    <b v="0"/>
    <b v="0"/>
    <b v="0"/>
    <d v="2026-06-05T00:00:00"/>
    <n v="12177.6"/>
  </r>
  <r>
    <s v="B0FN7RN9TH"/>
    <s v="Samsung Galaxy M17 5G Mobile (Sapphire Black, 4GB RAM, 128GB Storage) | 50MP OIS Triple Camera | Gorilla Glass Victus | IP54 | 6 Gen OS Upgrades | AI | Gemini Live | Lag-Free Gaming | Without Charger"/>
    <x v="0"/>
    <n v="14999"/>
    <n v="16499"/>
    <n v="9.0999999999999998E-2"/>
    <n v="4"/>
    <n v="2910"/>
    <n v="1"/>
    <b v="0"/>
    <b v="0"/>
    <b v="0"/>
    <b v="0"/>
    <d v="2026-06-05T00:00:00"/>
    <n v="11640"/>
  </r>
  <r>
    <s v="B0G29VSZF6"/>
    <s v="REDMI 15C 5G Dusk Purple 8GB + 128GB | Royale Design | Massive 6000mAh Battery | Segment&amp;#x27;s Largest 17.53cm Display Up to 120Hz | MediaTek Dimensity 6300 | 33W Fast Charging | 50MP AI Dual Camera"/>
    <x v="0"/>
    <n v="20999"/>
    <n v="33999"/>
    <n v="0.38200000000000001"/>
    <n v="3.9"/>
    <n v="727"/>
    <n v="1"/>
    <b v="0"/>
    <b v="0"/>
    <b v="0"/>
    <b v="0"/>
    <d v="2026-06-05T00:00:00"/>
    <n v="2835.2999999999997"/>
  </r>
  <r>
    <s v="B0GN1P5CSY"/>
    <s v="Samsung Galaxy M17e 5G Mobile (Vibe Violet, 4GB RAM, 128GB Storage) | Smoothest 120 Hz Refresh Rate| Monster 6000 mAh Battery | IP54 | 6 Gen OS Upgrades | AI | Gemini Live | Without Charger"/>
    <x v="0"/>
    <n v="13999"/>
    <n v="16999"/>
    <n v="0.17599999999999999"/>
    <n v="3.9"/>
    <n v="249"/>
    <n v="1"/>
    <b v="0"/>
    <b v="0"/>
    <b v="0"/>
    <b v="0"/>
    <d v="2026-06-05T00:00:00"/>
    <n v="971.1"/>
  </r>
  <r>
    <s v="B0GSVFNTBW"/>
    <s v="SHIVANSH 14 Pro Mini 4G Smartphone | 3GB RAM 32GB Storage (Expandable 128GB) | 4.05 Inch Compact Display | Dual SIM | Android 12 | Type-C Charging | Pocket Size Mobile (Color as per Stock)"/>
    <x v="0"/>
    <n v="4890"/>
    <n v="10990"/>
    <n v="0.55500000000000005"/>
    <n v="2.6"/>
    <n v="7"/>
    <n v="1"/>
    <b v="0"/>
    <b v="0"/>
    <b v="0"/>
    <b v="0"/>
    <d v="2026-06-05T00:00:00"/>
    <n v="18.2"/>
  </r>
  <r>
    <s v="B0GL1WGHJX"/>
    <s v="Lava Bold N2 (Indus Black, 4 GB RAM, 64 GB Storage) | 13MP AI Dual Rear Camera | Largest 6.75&amp;quot; HD+ Display | 5000 mAh Battery &amp;amp; 10W Charging | IP64 Water &amp;amp; Dust Proof | Charger &amp;amp; Phone-Case in Box"/>
    <x v="0"/>
    <n v="8899"/>
    <n v="10499"/>
    <n v="0.152"/>
    <n v="3.6"/>
    <n v="149"/>
    <n v="1"/>
    <b v="0"/>
    <b v="0"/>
    <b v="0"/>
    <b v="0"/>
    <d v="2026-06-05T00:00:00"/>
    <n v="536.4"/>
  </r>
  <r>
    <s v="B0FJFSHJ6Z"/>
    <s v="Redmi 15 5G Midnight Black 8GB + 256GB | Segment&amp;#x27;s Largest 7000mAhA Battery | Segment&amp;#x27;s Largest Display 17.53cm(6.9) Up to 144Hz | Snapdragon 6s Gen 3 | 18W Reverse Charging | 50MP AI Dual Camera"/>
    <x v="0"/>
    <n v="24499"/>
    <n v="36999"/>
    <n v="0.33800000000000002"/>
    <n v="4.0999999999999996"/>
    <n v="2138"/>
    <n v="1"/>
    <b v="0"/>
    <b v="0"/>
    <b v="0"/>
    <b v="0"/>
    <d v="2026-06-05T00:00:00"/>
    <n v="8765.7999999999993"/>
  </r>
  <r>
    <s v="B0GP88QJL8"/>
    <s v="Google Pixel 10a 5G (Obsidian, 8GB RAM, 256GB Storage)"/>
    <x v="0"/>
    <n v="48250"/>
    <n v="49999"/>
    <n v="3.5000000000000003E-2"/>
    <n v="4.3"/>
    <n v="69"/>
    <n v="1"/>
    <b v="0"/>
    <b v="0"/>
    <b v="0"/>
    <b v="0"/>
    <d v="2026-06-05T00:00:00"/>
    <n v="296.7"/>
  </r>
  <r>
    <s v="B0FZSXYV6K"/>
    <s v="OnePlus 15R | 12GB+512GB | Charcoal Black | World&amp;#x27;s First SnapdragonÂ® 8 Gen 5 | 7400mAh Battery | Personalised AI | Game-Changing 165Hz Display | IP68 IP69 IP66 &amp;amp; IP69K | 4K 120fps Video"/>
    <x v="0"/>
    <n v="59999"/>
    <m/>
    <m/>
    <n v="4.5"/>
    <n v="1585"/>
    <n v="1"/>
    <b v="0"/>
    <b v="0"/>
    <b v="0"/>
    <b v="0"/>
    <d v="2026-06-05T00:00:00"/>
    <n v="7132.5"/>
  </r>
  <r>
    <s v="B0GS5SM6JR"/>
    <s v="REDMI A7 Pro 5G (Black, 4GB RAM, 64GB Storage) | Segment&amp;#x27;s Fastest Processor | Segment&amp;#x27;s Largest Battery | Segment&amp;#x27;s Largest &amp;amp; Smoothest 6.9in 120Hz Display"/>
    <x v="0"/>
    <n v="12999"/>
    <n v="15999"/>
    <n v="0.188"/>
    <n v="3.6"/>
    <n v="569"/>
    <n v="1"/>
    <b v="0"/>
    <b v="0"/>
    <b v="0"/>
    <b v="0"/>
    <d v="2026-06-05T00:00:00"/>
    <n v="2048.4"/>
  </r>
  <r>
    <s v="B0FW3RP8YJ"/>
    <s v="Samsung Galaxy A17 5G (Blue, 6GB RAM, 128GB Storage) | 50 MP No Shake Camera | Gemini Live | Circle to Search | Super AMOLED | Corning Gorilla Glass Victus | 7.5mm Sleek | AI"/>
    <x v="0"/>
    <n v="20499"/>
    <n v="22999"/>
    <n v="0.109"/>
    <n v="4.0999999999999996"/>
    <n v="151"/>
    <n v="1"/>
    <b v="0"/>
    <b v="0"/>
    <b v="0"/>
    <b v="0"/>
    <d v="2026-06-05T00:00:00"/>
    <n v="619.09999999999991"/>
  </r>
  <r>
    <s v="B0GS5V95DB"/>
    <s v="REDMI A7 Pro 5G (Sunset Orange, 4GB RAM,128GB Storage) | Segment&amp;#x27;s Fastest Processor | Segment&amp;#x27;s Largest Battery | Segment&amp;#x27;s Largest &amp;amp; Smoothest 6.9in 120Hz Display"/>
    <x v="0"/>
    <n v="13999"/>
    <n v="16999"/>
    <n v="0.17599999999999999"/>
    <n v="3.6"/>
    <n v="569"/>
    <n v="1"/>
    <b v="0"/>
    <b v="0"/>
    <b v="0"/>
    <b v="0"/>
    <d v="2026-06-05T00:00:00"/>
    <n v="2048.4"/>
  </r>
  <r>
    <s v="B0DYKC512N"/>
    <s v="Samsung Galaxy F06 5G (Bahama Blue, 128 GB) (6 GB RAM)"/>
    <x v="0"/>
    <n v="14147"/>
    <n v="15499"/>
    <n v="8.6999999999999994E-2"/>
    <n v="4"/>
    <n v="213"/>
    <n v="1"/>
    <b v="0"/>
    <b v="0"/>
    <b v="0"/>
    <b v="0"/>
    <d v="2026-06-05T00:00:00"/>
    <n v="852"/>
  </r>
  <r>
    <s v="B0G8Y3GWQR"/>
    <s v="Oppo Reno15c 5G (Twilight Blue, 8GB RAM, 256GB Storage) with No Cost EMI/Additional Exchange Offers"/>
    <x v="0"/>
    <n v="37999"/>
    <n v="42999"/>
    <n v="0.11600000000000001"/>
    <n v="4"/>
    <n v="106"/>
    <n v="1"/>
    <b v="0"/>
    <b v="0"/>
    <b v="0"/>
    <b v="0"/>
    <d v="2026-06-05T00:00:00"/>
    <n v="424"/>
  </r>
  <r>
    <s v="B0GSRJ52CQ"/>
    <s v="OPPO K14x 5G Smartphone, Prism Violet, 4GB RAM, 64GB Storage, 6500mAh Battery, 45W Fast Charge"/>
    <x v="0"/>
    <n v="15909"/>
    <n v="20000"/>
    <n v="0.20499999999999999"/>
    <n v="4.3"/>
    <n v="15"/>
    <n v="4"/>
    <b v="0"/>
    <b v="0"/>
    <b v="0"/>
    <b v="0"/>
    <d v="2026-06-05T00:00:00"/>
    <n v="64.5"/>
  </r>
  <r>
    <s v="B07Z6JYPTW"/>
    <s v="Mi Redmi 8 Ruby Red, 4GB RAM, 64GB Storage Smartphone"/>
    <x v="0"/>
    <m/>
    <m/>
    <m/>
    <n v="3.9"/>
    <n v="224"/>
    <n v="1"/>
    <b v="0"/>
    <b v="0"/>
    <b v="0"/>
    <b v="0"/>
    <d v="2026-06-05T00:00:00"/>
    <n v="873.6"/>
  </r>
  <r>
    <s v="B0GF2H24ZJ"/>
    <s v="REDMI Note 15 Pro+ 5G (Coffee Mocha, 12GB + 512GB) | 200MasterPixel OIS Camera | Snapdragon 7s Gen 4 | CrystalRes AMOLED | IP69/69K | 6500mAh Si/C Battery | 100W HyperCharge"/>
    <x v="0"/>
    <n v="44999"/>
    <m/>
    <m/>
    <n v="4.2"/>
    <n v="262"/>
    <n v="1"/>
    <b v="0"/>
    <b v="0"/>
    <b v="0"/>
    <b v="0"/>
    <d v="2026-06-05T00:00:00"/>
    <n v="1100.4000000000001"/>
  </r>
  <r>
    <s v="B0GTV6S8Q2"/>
    <s v="vivo T5x 5G (Star Silver, 8GB RAM, 256GB Storage) | 50MP AI Dual Camera | 32MP Selfie | 6.76&amp;quot; FHD+ Display | 7200mAh Battery | Dimensity 7400-Turbo Processor | Fast Charging | Dual SIM Smartphone"/>
    <x v="0"/>
    <n v="26909"/>
    <n v="35999"/>
    <n v="0.253"/>
    <n v="4.3"/>
    <n v="73"/>
    <n v="9"/>
    <b v="0"/>
    <b v="0"/>
    <b v="0"/>
    <b v="0"/>
    <d v="2026-06-05T00:00:00"/>
    <n v="313.89999999999998"/>
  </r>
  <r>
    <s v="B0DDYBQWLW"/>
    <s v="Motorola G45 5G (Brilliant Green, 8GB RAM, 128GB Storage) | 6.5&amp;quot; FHD+ Display | Snapdragon 6 Gen1 Processor | 50MP Camera | 16MP Front Camera | 5000mAh Battery | 33W Charging"/>
    <x v="0"/>
    <n v="12269"/>
    <m/>
    <m/>
    <n v="4.0999999999999996"/>
    <n v="1853"/>
    <n v="1"/>
    <b v="0"/>
    <b v="0"/>
    <b v="0"/>
    <b v="0"/>
    <d v="2026-06-05T00:00:00"/>
    <n v="7597.2999999999993"/>
  </r>
  <r>
    <s v="B0GWDDKGNP"/>
    <s v="Lava Bold N1 5G (Champagne Gold, 6GB RAM, 128GB Storage) |Bigger 6.75&amp;quot; HD+ Notch Display | Octacore 5G Processor | 13 MP AI Camera |5000 mAh Battery| IP54 Rated Dust &amp;amp; Water Splash Proof"/>
    <x v="0"/>
    <n v="13499"/>
    <n v="16999"/>
    <n v="0.20599999999999999"/>
    <n v="3.6"/>
    <n v="45"/>
    <n v="1"/>
    <b v="0"/>
    <b v="0"/>
    <b v="0"/>
    <b v="0"/>
    <d v="2026-06-05T00:00:00"/>
    <n v="162"/>
  </r>
  <r>
    <s v="B0GP8XTH7K"/>
    <s v="iQOO Z11x 5G (Prismatic Green, 8GB RAM, 256 GB Storage) | Dimensity 7400-Turbo Processor | 7200 mAh Battery | 4K Video Recording Front &amp;amp; Back | IP68 &amp;amp; IP69+ | Powered by OriginOS 6"/>
    <x v="0"/>
    <n v="26999"/>
    <n v="33999"/>
    <n v="0.20599999999999999"/>
    <n v="4.2"/>
    <n v="827"/>
    <n v="1"/>
    <b v="0"/>
    <b v="0"/>
    <b v="0"/>
    <b v="0"/>
    <d v="2026-06-05T00:00:00"/>
    <n v="3473.4"/>
  </r>
  <r>
    <s v="B0FRNNP6F5"/>
    <s v="POCO M7 Plus 5G, Carbon Black (6GB, 128GB)"/>
    <x v="0"/>
    <n v="15499"/>
    <n v="16999"/>
    <n v="8.7999999999999995E-2"/>
    <n v="3.7"/>
    <n v="69"/>
    <n v="1"/>
    <b v="0"/>
    <b v="0"/>
    <b v="0"/>
    <b v="0"/>
    <d v="2026-06-05T00:00:00"/>
    <n v="255.3"/>
  </r>
  <r>
    <s v="B0G5G7LNCV"/>
    <s v="REDMI Note 15 5G (Glacier Blue, 8GB RAM 256GB Storage) | 108MP OIS Camera | Snapdragon 6 Gen 3 | 17.2cm Tough Curved AMOLED Screen | 5520mAh Battery | 45W Fast Charging"/>
    <x v="0"/>
    <n v="28999"/>
    <m/>
    <m/>
    <n v="4.2"/>
    <n v="831"/>
    <n v="1"/>
    <b v="0"/>
    <b v="0"/>
    <b v="0"/>
    <b v="0"/>
    <d v="2026-06-05T00:00:00"/>
    <n v="3490.2000000000003"/>
  </r>
  <r>
    <s v="B0GZWDFQPN"/>
    <s v="POCO C81, Sky Blue (4GB, 64GB)"/>
    <x v="0"/>
    <n v="11179"/>
    <n v="19999"/>
    <n v="0.441"/>
    <m/>
    <n v="0"/>
    <n v="1"/>
    <b v="0"/>
    <b v="0"/>
    <b v="0"/>
    <b v="0"/>
    <d v="2026-06-05T00:00:00"/>
    <s v=""/>
  </r>
  <r>
    <s v="B0GL83ZTP8"/>
    <s v="iQOO 15R (Dark Knight, 8GB RAM, 256GB Storage) | SnapdragonÂ® 8 Gen 5 Processor | Indiaâ€™s Slimmest Smartphone in 7600mAh Battery* | Segment&amp;#x27;s Most Stable 144FPS Gaming*"/>
    <x v="0"/>
    <n v="46998"/>
    <n v="53990"/>
    <n v="0.13"/>
    <n v="4.4000000000000004"/>
    <n v="954"/>
    <n v="1"/>
    <b v="0"/>
    <b v="0"/>
    <b v="0"/>
    <b v="0"/>
    <d v="2026-06-05T00:00:00"/>
    <n v="4197.6000000000004"/>
  </r>
  <r>
    <s v="B0F46SJ5SB"/>
    <s v="Motorola Edge 60 Fusion 5G Smartphone with 6.67&amp;quot; 120Hz pOLED Display, 50MP OIS Camera, Android 14, Dimensity 7030 Processor, 68W Fast Charging (Pantone Amazonite, 8GB + 256GB Storage)"/>
    <x v="0"/>
    <n v="21040"/>
    <m/>
    <m/>
    <n v="4.3"/>
    <n v="1454"/>
    <n v="1"/>
    <b v="0"/>
    <b v="0"/>
    <b v="0"/>
    <b v="0"/>
    <d v="2026-06-05T00:00:00"/>
    <n v="6252.2"/>
  </r>
  <r>
    <s v="B0FDB9H9Z7"/>
    <s v="Samsung Galaxy M36 5G Mobile (Serene Green, 8GB RAM, 128GB Storage) | Google Gemini| Gorilla Glass Victus+ | 7.7mm | AI Enhanced 50MP OIS Triple Camera| Nightography| Lag-free Gaming | Without Charger"/>
    <x v="0"/>
    <n v="23999"/>
    <n v="26999"/>
    <n v="0.111"/>
    <n v="4"/>
    <n v="513"/>
    <n v="1"/>
    <b v="0"/>
    <b v="0"/>
    <b v="0"/>
    <b v="0"/>
    <d v="2026-06-05T00:00:00"/>
    <n v="2052"/>
  </r>
  <r>
    <s v="B0GVFVND7C"/>
    <s v="REDMI A7 4G (Sky Blue, 3 GB RAM, 64GB Storage) | Large 17.48cm (6.88) Smooth 120Hz Display | 5200mAh 2-Day Battery | Royale Design | Charger in the Box"/>
    <x v="0"/>
    <n v="11499"/>
    <n v="14999"/>
    <n v="0.23300000000000001"/>
    <n v="3.2"/>
    <n v="11"/>
    <n v="2"/>
    <b v="0"/>
    <b v="0"/>
    <b v="0"/>
    <b v="0"/>
    <d v="2026-06-05T00:00:00"/>
    <n v="35.200000000000003"/>
  </r>
  <r>
    <s v="B0F2HDWBNK"/>
    <s v="iQOO Z10 5G (Glacier Silver, 12GB RAM, 256GB Storage) | India&amp;#x27;s Biggest Ever 7300 mAh Battery | Snapdragon 7s Gen 3 Processor | Brightest Quad Curved AMOLED Display in the Segment"/>
    <x v="0"/>
    <n v="28999"/>
    <n v="29999"/>
    <n v="3.3000000000000002E-2"/>
    <n v="4.4000000000000004"/>
    <n v="5380"/>
    <n v="1"/>
    <b v="0"/>
    <b v="0"/>
    <b v="0"/>
    <b v="0"/>
    <d v="2026-06-05T00:00:00"/>
    <n v="23672.000000000004"/>
  </r>
  <r>
    <s v="B0CL7CMTXS"/>
    <s v="Lenovo V15 G4 AMD Athlon Silver 7120U Laptop 8GB LPDDR5 Ram, 512 GB SSD PCIe, Windows 11 Lifetime Validity,15.6&amp;quot; FHD Screen, AMD Radeon 610M, Silver, 1 Year Brand Warranty"/>
    <x v="1"/>
    <n v="42999"/>
    <m/>
    <m/>
    <n v="4"/>
    <n v="349"/>
    <n v="1"/>
    <b v="0"/>
    <b v="0"/>
    <b v="0"/>
    <b v="0"/>
    <d v="2026-06-05T00:00:00"/>
    <n v="1396"/>
  </r>
  <r>
    <s v="B0BQJ68HHC"/>
    <s v="Dell 15 (Previously Inspiron) Laptop, 14th Gen Intel Core i3/Core 3 100U Processor, 8GB DDR4, 512 SSD, 15.6&amp;quot; FHD 120Hz IPS 250 nit Display, Win 11 + Office H&amp;amp;S 2024, Carbon Black, Thin &amp;amp; Light 1.63Kg"/>
    <x v="1"/>
    <n v="44990"/>
    <n v="48692"/>
    <n v="7.5999999999999998E-2"/>
    <n v="4.0999999999999996"/>
    <n v="1114"/>
    <n v="1"/>
    <b v="0"/>
    <b v="0"/>
    <b v="0"/>
    <b v="0"/>
    <d v="2026-06-05T00:00:00"/>
    <n v="4567.3999999999996"/>
  </r>
  <r>
    <s v="B0F2TMZJ24"/>
    <s v="Lenovo Chromebook Intel Celeron N4500 (4GB RAM/64GB eMMC 5.1/11.6 Inch (29.46cm)/HD Display/2Wx2 Stereo Speakers/HD Camera/Chrome OS/Blue/1.21Kg), 82UY0014HA"/>
    <x v="1"/>
    <n v="18990"/>
    <n v="36502"/>
    <n v="0.48"/>
    <n v="3.9"/>
    <n v="179"/>
    <n v="1"/>
    <b v="0"/>
    <b v="0"/>
    <b v="0"/>
    <b v="0"/>
    <d v="2026-06-05T00:00:00"/>
    <n v="698.1"/>
  </r>
  <r>
    <s v="B0H1JV266J"/>
    <s v="ð——ð—²ð—¹ð—¹Laptop Model 5420 | ð—œð—¡ð—§ð—˜ð—Ÿi5 11th Gen Processor |8GB DDR4 RAM |256GB SSD |14&amp;quot; FHD Display | Win10 | A+ Condition Laptop (Refab)"/>
    <x v="1"/>
    <n v="35490"/>
    <n v="49999"/>
    <n v="0.28999999999999998"/>
    <n v="5"/>
    <n v="1"/>
    <n v="1"/>
    <b v="0"/>
    <b v="0"/>
    <b v="0"/>
    <b v="0"/>
    <d v="2026-06-05T00:00:00"/>
    <n v="5"/>
  </r>
  <r>
    <s v="B0FDWH5WTL"/>
    <s v="Dell 15, Intel Core i3/Core 3 14th Gen-100U, 16GB DDR4, 512GB SSD, FHD IPS, 15.6&amp;quot;/39.62cm, Windows 11, Microsoft Office Home 2024, Carbon Black, 1.63Kg, Thin &amp;amp; Light, Laptop Model NO - Dell 15 DCU5250"/>
    <x v="1"/>
    <n v="47490"/>
    <n v="53074"/>
    <n v="0.105"/>
    <n v="3.7"/>
    <n v="46"/>
    <n v="1"/>
    <b v="0"/>
    <b v="0"/>
    <b v="0"/>
    <b v="0"/>
    <d v="2026-06-05T00:00:00"/>
    <n v="170.20000000000002"/>
  </r>
  <r>
    <s v="B0D7PTFFZH"/>
    <s v="Acer Aspire 3 Laptop Intel Core Celeron N4500 Processor Laptop (8 GB LPDDR4X SDRAM/256 GB SSD/Win11 Home/38 WHR/HD Webcam) A325-45 with 39.63 cm (15.6&amp;quot;) HD Display, Pure Silver, 1.5 KG"/>
    <x v="1"/>
    <n v="36990"/>
    <n v="39999"/>
    <n v="7.4999999999999997E-2"/>
    <n v="3.6"/>
    <n v="459"/>
    <n v="1"/>
    <b v="0"/>
    <b v="0"/>
    <b v="0"/>
    <b v="0"/>
    <d v="2026-06-05T00:00:00"/>
    <n v="1652.4"/>
  </r>
  <r>
    <s v="B0FC2LKFSC"/>
    <s v="ASUS Vivobook 15, Smartchoice, AMD Ryzen 7 5825U, 16GB RAM, 512GB SSD, FHD 15.6&amp;quot;, Windows 11, Office Home 2024, Quiet Blue, 1.7Kg, M1502YA-BQ703WS, AMD Radeon iGPU, M365 Basic (1Year)*, 42Whr Laptop"/>
    <x v="1"/>
    <n v="54990"/>
    <n v="57990"/>
    <n v="5.1999999999999998E-2"/>
    <n v="4"/>
    <n v="180"/>
    <n v="1"/>
    <b v="0"/>
    <b v="0"/>
    <b v="0"/>
    <b v="0"/>
    <d v="2026-06-05T00:00:00"/>
    <n v="720"/>
  </r>
  <r>
    <s v="B0FM3C4L2F"/>
    <s v="ASUS TUF A15 (2025), AMD Ryzen 7 7445HS,RTX 3050-4GB,75W TGP,16GB DDR5(Upgradeable Upto 64GB) 512GB SSD,FHD,15.6&amp;quot;,144Hz,RGB Keyboard,Windows 11,Graphite Black,2.3 Kg FA506NCG-HN199W, Gaming Laptop"/>
    <x v="1"/>
    <n v="68990"/>
    <n v="83990"/>
    <n v="0.17899999999999999"/>
    <n v="4.2"/>
    <n v="872"/>
    <n v="1"/>
    <b v="0"/>
    <b v="0"/>
    <b v="0"/>
    <b v="0"/>
    <d v="2026-06-05T00:00:00"/>
    <n v="3662.4"/>
  </r>
  <r>
    <s v="B0GN2Y3T6M"/>
    <s v="ASUS Chromebook CX1405 (2026), Smartchoice,Intel N50 Processor, Intel UHD iGPU, 8GB RAM, 128GB SSD, FHD, 14&amp;quot; (35.5 cm), Chrome OS, Pure Grey, 1.39 Kg, CX1405CTA-S60622, 42WHrs, Thin &amp;amp; Light Laptop"/>
    <x v="1"/>
    <n v="30990"/>
    <m/>
    <m/>
    <n v="2.7"/>
    <n v="10"/>
    <n v="1"/>
    <b v="0"/>
    <b v="0"/>
    <b v="0"/>
    <b v="0"/>
    <d v="2026-06-05T00:00:00"/>
    <n v="27"/>
  </r>
  <r>
    <s v="B0FMRSJK1L"/>
    <s v="ASUS Vivobook 15, Smartchoice,Intel Core i3 13th Gen 1315U, 16GB RAM, 512GB SSD, FHD 15.6&amp;quot;, Touchscreen, Win11, Office 24, M365 Basic (1Y), Quiet Blue, 1.7Kg, X1504VA-E83959WS, Intel UHD iGPU, Laptop"/>
    <x v="1"/>
    <n v="54990"/>
    <n v="56990"/>
    <n v="3.5000000000000003E-2"/>
    <n v="4.3"/>
    <n v="213"/>
    <n v="1"/>
    <b v="0"/>
    <b v="0"/>
    <b v="0"/>
    <b v="0"/>
    <d v="2026-06-05T00:00:00"/>
    <n v="915.9"/>
  </r>
  <r>
    <s v="B0GR64G4H6"/>
    <s v="Apple 2026 MacBook Neo 13â€³ Laptop with A18 Pro chip: Built for AI and Apple Intelligence, Liquid Retina Display, 8GB Unified Memory, 256GB SSD Storage, 1080p FaceTime HD Camera; Indigo"/>
    <x v="1"/>
    <n v="65000"/>
    <n v="69900"/>
    <n v="7.0000000000000007E-2"/>
    <n v="4.8"/>
    <n v="120"/>
    <n v="1"/>
    <b v="0"/>
    <b v="0"/>
    <b v="0"/>
    <b v="0"/>
    <d v="2026-06-05T00:00:00"/>
    <n v="576"/>
  </r>
  <r>
    <s v="B0GSZRGP46"/>
    <s v="HP 15 (2026), Refrbishd AMD Ryzen 5 Hexa Core 7535U - (8 GB DDR5/512 GB SSD/) Thin and Light Business Laptop/15.6&amp;quot; FHD Display/Turbo Silver/1.5kg"/>
    <x v="1"/>
    <n v="49300"/>
    <n v="80990"/>
    <n v="0.39100000000000001"/>
    <n v="5"/>
    <n v="1"/>
    <n v="1"/>
    <b v="0"/>
    <b v="0"/>
    <b v="0"/>
    <b v="0"/>
    <d v="2026-06-05T00:00:00"/>
    <n v="5"/>
  </r>
  <r>
    <s v="B0H1J4KRR9"/>
    <s v="ð——ð—²ð—¹ð—¹Laptop Model 5420 | ð—œð—¡ð—§ð—˜ð—Ÿi5 11th Gen Processor |8GB DDR4 RAM |256GB SSD |14&amp;quot; FHD Display | Win10 | A+ Condition Laptop (Refab)"/>
    <x v="1"/>
    <n v="35590"/>
    <n v="54999"/>
    <n v="0.35299999999999998"/>
    <n v="5"/>
    <n v="1"/>
    <n v="1"/>
    <b v="0"/>
    <b v="0"/>
    <b v="0"/>
    <b v="0"/>
    <d v="2026-06-05T00:00:00"/>
    <n v="5"/>
  </r>
  <r>
    <s v="B0F4R5W1NC"/>
    <s v="HP 15, 13th Gen Intel Core i3-1315U Laptop (8GB DDR4,512GB SSD) Anti-Glare, Micro-Edge,15.6&amp;#x27;&amp;#x27;/39.6cm, FHD, Win11,M365 Basic(1yr),Office Home24, Silver,1.59kg, FHD Camera w/Privacy Shutter, fd0569TU"/>
    <x v="1"/>
    <n v="50040"/>
    <n v="50903"/>
    <n v="1.7000000000000001E-2"/>
    <n v="4.2"/>
    <n v="2212"/>
    <n v="1"/>
    <b v="0"/>
    <b v="0"/>
    <b v="0"/>
    <b v="0"/>
    <d v="2026-06-05T00:00:00"/>
    <n v="9290.4"/>
  </r>
  <r>
    <s v="B0F29HNJL1"/>
    <s v="Lenovo V15 G4 AMD Ryzen 5 7520U 15.6 inch FHD Laptop, AMD Graphics, 16GB DDR5 5500Mhz Ram, 512GB SSD NVMe, Windows 11, Dolby Audio, Arctic Grey, 1 Year Onsite Brand Warranty"/>
    <x v="1"/>
    <n v="54790"/>
    <n v="99999"/>
    <n v="0.45200000000000001"/>
    <n v="4"/>
    <n v="446"/>
    <n v="1"/>
    <b v="0"/>
    <b v="0"/>
    <b v="0"/>
    <b v="0"/>
    <d v="2026-06-05T00:00:00"/>
    <n v="1784"/>
  </r>
  <r>
    <s v="B0D2Y1BLDT"/>
    <s v="Dell 15, 13th Gen Intel Core i5-1334U (16GB DDR4, 512GB SSD) Anti-Glare FHD 15.6&amp;quot;/39.62cm, Windows 11, Microsoft Office Home 2024, Grey, 1.66kg, [Vostro 3530], 12 Month McAfee, Thin &amp;amp; Light Laptop"/>
    <x v="1"/>
    <n v="61990"/>
    <n v="73163"/>
    <n v="0.153"/>
    <n v="3.8"/>
    <n v="547"/>
    <n v="1"/>
    <b v="0"/>
    <b v="0"/>
    <b v="0"/>
    <b v="0"/>
    <d v="2026-06-05T00:00:00"/>
    <n v="2078.6"/>
  </r>
  <r>
    <s v="B0F8P4Y7VF"/>
    <s v="HP Smartchoice OmniBook 5 OLED (Previously Pavilion), Snapdragon X Processor (16GB LPDDR5x, 512GB SSD) 2K, 14&amp;#x27;&amp;#x27;/35.6cm, Win11, M365(1yr)* Office24, Silver, 1.35kg, he0014QU, Next-Gen AI Laptop"/>
    <x v="1"/>
    <n v="79990"/>
    <n v="83704"/>
    <n v="4.3999999999999997E-2"/>
    <n v="4.2"/>
    <n v="282"/>
    <n v="1"/>
    <b v="0"/>
    <b v="0"/>
    <b v="0"/>
    <b v="0"/>
    <d v="2026-06-05T00:00:00"/>
    <n v="1184.4000000000001"/>
  </r>
  <r>
    <s v="B0GR1RQ144"/>
    <s v="Apple 2026 MacBook Air 13â€³ Laptop with M5 chip: AI and Apple Intelligence, 34.46 cm (13.6â€³) Liquid Retina Display, 16GB Unified Memory, 512GB SSD Storage, 12MP Center Stage Camera, Touch ID; Sky Blue"/>
    <x v="1"/>
    <n v="110300"/>
    <n v="119900"/>
    <n v="0.08"/>
    <n v="4.9000000000000004"/>
    <n v="25"/>
    <n v="1"/>
    <b v="0"/>
    <b v="0"/>
    <b v="0"/>
    <b v="0"/>
    <d v="2026-06-05T00:00:00"/>
    <n v="122.50000000000001"/>
  </r>
  <r>
    <s v="B0GR68779Y"/>
    <s v="Apple 2026 MacBook Neo 13â€³ Laptop with A18 Pro chip: Built for AI and Apple Intelligence, Liquid Retina Display, 8GB Unified Memory, 256GB SSD Storage, 1080p FaceTime HD Camera; Citrus"/>
    <x v="1"/>
    <n v="65000"/>
    <n v="69900"/>
    <n v="7.0000000000000007E-2"/>
    <n v="4.8"/>
    <n v="120"/>
    <n v="1"/>
    <b v="0"/>
    <b v="0"/>
    <b v="0"/>
    <b v="0"/>
    <d v="2026-06-05T00:00:00"/>
    <n v="576"/>
  </r>
  <r>
    <s v="B0GR1HPR1W"/>
    <s v="Apple 2026 MacBook Air 13â€³ Laptop with M5 chip: AI and Apple Intelligence, 34.46 cm (13.6â€³) Liquid Retina Display, 16GB Unified Memory, 512GB SSD Storage, 12MP Center Stage Camera, Touch ID; Midnight"/>
    <x v="1"/>
    <n v="110290"/>
    <n v="119900"/>
    <n v="0.08"/>
    <n v="4.5"/>
    <n v="34"/>
    <n v="1"/>
    <b v="0"/>
    <b v="0"/>
    <b v="0"/>
    <b v="0"/>
    <d v="2026-06-05T00:00:00"/>
    <n v="153"/>
  </r>
  <r>
    <s v="B0FJYJP1L6"/>
    <s v="HP Victus, AMD Ryzen 7 7445HS, 6GB RTX 4050, 16GB DDR5(Upgradeable) 512GB SSD, 144Hz, IPS, 300nits, FHD, 15.6&amp;#x27;&amp;#x27;/39.6cm, Win11, M365* Office24, Blue, 2.29kg, fb3130AX, Backlit, DTS Audio, Gaming Laptop"/>
    <x v="1"/>
    <n v="90990"/>
    <n v="95746"/>
    <n v="0.05"/>
    <n v="4.2"/>
    <n v="90"/>
    <n v="1"/>
    <b v="0"/>
    <b v="0"/>
    <b v="0"/>
    <b v="0"/>
    <d v="2026-06-05T00:00:00"/>
    <n v="378"/>
  </r>
  <r>
    <s v="B0F2162VGQ"/>
    <s v="Lenovo Ideapad Slim 3, 13th Gen Intel Core i7 13620H, 16GB RAM, 512GB SSD, WUXGA IPS, 15.3&amp;quot;/38.8cm, Win 11, Office 2024, Top Metal Cover Grey, 1.6Kg, 83K100CJIN/S1IN, Backlit KB, Laptop"/>
    <x v="1"/>
    <n v="79990"/>
    <n v="89390"/>
    <n v="0.105"/>
    <n v="4.0999999999999996"/>
    <n v="436"/>
    <n v="1"/>
    <b v="0"/>
    <b v="0"/>
    <b v="0"/>
    <b v="0"/>
    <d v="2026-06-05T00:00:00"/>
    <n v="1787.6"/>
  </r>
  <r>
    <s v="B0GYHPP3Y1"/>
    <s v="Certified Latitude 7420 Business Laptop â€“ Core i5-1145G7, 16GB RAM, 512GB SSD, 14â€ Full HD, Win 11 Pro"/>
    <x v="1"/>
    <n v="34990"/>
    <n v="79990"/>
    <n v="0.56299999999999994"/>
    <m/>
    <n v="0"/>
    <n v="1"/>
    <b v="0"/>
    <b v="0"/>
    <b v="0"/>
    <b v="0"/>
    <d v="2026-06-05T00:00:00"/>
    <s v=""/>
  </r>
  <r>
    <s v="B09BB766ZL"/>
    <s v="ASUS Zenbook 14 (2026),Smartchoice,Intel Core Ultra 9 285H,32GB RAM,1TB SSD,OLED,Touchscreen,14&amp;quot;(35.5 cm),Win 11,M365 Basic(1Y)* Office 24,Foggy Silver,1.28 Kg,UX3405CA-QL1113WS,Thin &amp;amp; Light Laptop"/>
    <x v="1"/>
    <n v="124990"/>
    <n v="153990"/>
    <n v="0.188"/>
    <m/>
    <n v="0"/>
    <n v="1"/>
    <b v="0"/>
    <b v="0"/>
    <b v="0"/>
    <b v="0"/>
    <d v="2026-06-05T00:00:00"/>
    <s v=""/>
  </r>
  <r>
    <s v="B0GYRJZZ29"/>
    <s v="Acer Smartchoice Aspire One, AMD Ryzen 3-7320U, Office 2024 + M365 Basic, 8GB LPDDR5 RAM/ 256GB SSD, 14.0&amp;quot;/35.56cm TN HD Display, Win 11 Home, Pure Silver, 1.48KG, A114-43, Thin and Light Laptop"/>
    <x v="1"/>
    <n v="41990"/>
    <n v="74999"/>
    <n v="0.44"/>
    <m/>
    <n v="0"/>
    <n v="1"/>
    <b v="0"/>
    <b v="0"/>
    <b v="0"/>
    <b v="0"/>
    <d v="2026-06-05T00:00:00"/>
    <s v=""/>
  </r>
  <r>
    <s v="B0G3B47HZF"/>
    <s v="Lenovo LOQ 13th Gen Intel Core i7-13650HX 15.6&amp;quot; (39.6cm) 144Hz 300Nits FHD Gaming Laptop (16GB/512GB SSD/Win 11/NVIDIA RTX 4050 6GB/1Yr ADP Free/MSO 24/Grey/2.3Kg), 83DV01A5IN"/>
    <x v="1"/>
    <n v="109539"/>
    <n v="131290"/>
    <n v="0.16600000000000001"/>
    <n v="4.7"/>
    <n v="8"/>
    <n v="7"/>
    <b v="0"/>
    <b v="0"/>
    <b v="0"/>
    <b v="0"/>
    <d v="2026-06-05T00:00:00"/>
    <n v="37.6"/>
  </r>
  <r>
    <s v="B0GR67GHSV"/>
    <s v="Apple 2026 MacBook Neo 13&amp;quot; Laptop with A18 Pro chip: Built for AI and Apple Intelligence, Liquid Retina Display, 8GB Unified Memory, 512GB SSD Storage, 1080p FaceTime HD Camera, Touch ID; Blush"/>
    <x v="1"/>
    <n v="77900"/>
    <n v="79900"/>
    <n v="2.5000000000000001E-2"/>
    <n v="4.8"/>
    <n v="120"/>
    <n v="1"/>
    <b v="0"/>
    <b v="0"/>
    <b v="0"/>
    <b v="0"/>
    <d v="2026-06-05T00:00:00"/>
    <n v="576"/>
  </r>
  <r>
    <s v="B0F4R3GFMQ"/>
    <s v="HP 15 Smartchoice, 13th Gen Intel Core i3-1315U (12GB DDR4, 512GB SSD) FHD, Anti-Glare, Micro-Edge, 15.6&amp;#x27;&amp;#x27;/39.6cm, Win11, M365(1yr)*Office24, Silver, 1.59kg, fd0573TU, FHD Camera w/Shutter Laptop"/>
    <x v="1"/>
    <n v="52690"/>
    <n v="52720.160000000003"/>
    <n v="1E-3"/>
    <n v="4.2"/>
    <n v="551"/>
    <n v="1"/>
    <b v="0"/>
    <b v="0"/>
    <b v="0"/>
    <b v="0"/>
    <d v="2026-06-05T00:00:00"/>
    <n v="2314.2000000000003"/>
  </r>
  <r>
    <s v="B0GY7VGHDQ"/>
    <s v="HP Professional 15 (2026), Intel (i3 14th Gen) Core 3 100U - (8 GB/512 GB SSD/Intel UHD Graphics/Windows 11 Pro) Thin &amp;amp; Light Business Laptop/15.6&amp;quot; Display/Turbo Silver/Copilot Key/1.5kg/MS Office"/>
    <x v="1"/>
    <n v="48902"/>
    <n v="89990"/>
    <n v="0.45700000000000002"/>
    <m/>
    <n v="0"/>
    <n v="1"/>
    <b v="0"/>
    <b v="0"/>
    <b v="0"/>
    <b v="0"/>
    <d v="2026-06-05T00:00:00"/>
    <s v=""/>
  </r>
  <r>
    <s v="B0872G2MPV"/>
    <s v="Lenovo V15 G4 AMD Athlon Silver 7120U Laptop 8GB LPDDR5 Ram, 512 GB SSD PCIe, Windows 11/MS Office,15.6&amp;quot; FHD Screen, AMD Radeon 610M, Silver, 1 Year Brand Warranty"/>
    <x v="1"/>
    <n v="43999"/>
    <n v="99000"/>
    <n v="0.55600000000000005"/>
    <n v="3.9"/>
    <n v="41"/>
    <n v="1"/>
    <b v="0"/>
    <b v="0"/>
    <b v="0"/>
    <b v="0"/>
    <d v="2026-06-05T00:00:00"/>
    <n v="159.9"/>
  </r>
  <r>
    <s v="B0GY8KNSFC"/>
    <s v="HP Omnibook 3, Snapdragon X Processor, 45 TOPS (16GB LPDDR5x, 512GB SSD) 2K, WUXGA, IPS, 14&amp;#x27;&amp;#x27;/35.6cm, Win 11, Office 24, Silver, 1.4kg, hz0026QU, FHD IR Camera, 42% Lighter mini GaN Charger, AI Laptop"/>
    <x v="1"/>
    <n v="73990"/>
    <n v="108510"/>
    <n v="0.318"/>
    <n v="3"/>
    <n v="2"/>
    <n v="1"/>
    <b v="0"/>
    <b v="0"/>
    <b v="0"/>
    <b v="0"/>
    <d v="2026-06-05T00:00:00"/>
    <n v="6"/>
  </r>
  <r>
    <s v="B0CWTYGPH8"/>
    <s v="acer Aspire Lite, AMD Ryzen 3 5300U Processor, 16 GB RAM, 512GB SSD, Full HD, 15.6&amp;quot;/39.62cm, Windows 11 Home, Steel Gray, 1.59KG, AL15-41, Metal Body, Premium Thin and Light Laptop"/>
    <x v="1"/>
    <n v="49790"/>
    <n v="49990"/>
    <n v="4.0000000000000001E-3"/>
    <n v="4"/>
    <n v="358"/>
    <n v="1"/>
    <b v="0"/>
    <b v="0"/>
    <b v="0"/>
    <b v="0"/>
    <d v="2026-06-05T00:00:00"/>
    <n v="1432"/>
  </r>
  <r>
    <s v="B0GFP4WSMB"/>
    <s v="HP Professional 14 (2026) â€“ Intel Core 5 120U (14th Gen), 16GB RAM, 512GB SSD, Windows 11 Pro, MSO 2024, Copilot Key, Fingerprint Reader, Intel Iris Xe Graphics, 14â€³ FHD Display, 1.53Kg â€“ Turbo Silver"/>
    <x v="1"/>
    <n v="61700"/>
    <n v="85000"/>
    <n v="0.27400000000000002"/>
    <n v="5"/>
    <n v="1"/>
    <n v="1"/>
    <b v="0"/>
    <b v="0"/>
    <b v="0"/>
    <b v="0"/>
    <d v="2026-06-05T00:00:00"/>
    <n v="5"/>
  </r>
  <r>
    <s v="B0GVT7T169"/>
    <s v="ASUS Vivobook 15, Thin &amp;amp; Light Laptop,(i5 14th Gen) Intel Core 5 120U (16GB/512GB SSD/Intel Graphics/ 15.6&amp;quot; FHD/Windows 11 H/Office 2024+M365 Basic(1-Year)/Backlit KB/Terra Cotta), X1504VAP-BQ1543WS"/>
    <x v="1"/>
    <n v="58990"/>
    <n v="73990"/>
    <n v="0.20300000000000001"/>
    <m/>
    <n v="0"/>
    <n v="1"/>
    <b v="0"/>
    <b v="0"/>
    <b v="0"/>
    <b v="0"/>
    <d v="2026-06-05T00:00:00"/>
    <s v=""/>
  </r>
  <r>
    <s v="B0FK59XW2C"/>
    <s v="Lenovo Yoga Slim 7 Intel Core Ultra 7 155H 14&amp;quot;(35.5cm) WUXGA-OLED 400Nits Laptop (32GB RAM/1TB SSD/AI PC/2Wx4 Speakers/Windows 11/Office Home 2024/1Yr ADP Free/Grey/1.39Kg), 83CV00D3IN"/>
    <x v="1"/>
    <n v="129990"/>
    <n v="139990"/>
    <n v="7.0999999999999994E-2"/>
    <n v="4.8"/>
    <n v="10"/>
    <n v="1"/>
    <b v="0"/>
    <b v="0"/>
    <b v="0"/>
    <b v="0"/>
    <d v="2026-06-05T00:00:00"/>
    <n v="48"/>
  </r>
  <r>
    <s v="B0F5B1N9SJ"/>
    <s v="HP 15, Intel Core Ultra 5 125H (16GB DDR5, 1TB SSD) FHD, IPS, 15.6&amp;#x27;&amp;#x27;/39.6cm, Win11, M365 Basic(1yr)*Office24, Silver, 1.65kg, fd1354TU, Intel Arc Graphics, FHD Camera w/Shutter, AI Powered Laptop"/>
    <x v="1"/>
    <n v="74990"/>
    <n v="86451"/>
    <n v="0.13300000000000001"/>
    <n v="3.8"/>
    <n v="366"/>
    <n v="1"/>
    <b v="0"/>
    <b v="0"/>
    <b v="0"/>
    <b v="0"/>
    <d v="2026-06-05T00:00:00"/>
    <n v="1390.8"/>
  </r>
  <r>
    <s v="B0FVX5P8LB"/>
    <s v="acer Aspire 14, 13th Gen, Intel Core i7-13620H Processors, 16 GB RAM, 512 GB SSD, Full HD IPS, 14&amp;quot;/35.56 cm, Windows 11 Home, MSO, Pure Silver, 1.44 kg, AS14H-53, Backlit KB, Thin and Light Laptop"/>
    <x v="1"/>
    <n v="65990"/>
    <n v="84990"/>
    <n v="0.224"/>
    <n v="3.7"/>
    <n v="2"/>
    <n v="1"/>
    <b v="0"/>
    <b v="0"/>
    <b v="0"/>
    <b v="0"/>
    <d v="2026-06-05T00:00:00"/>
    <n v="7.4"/>
  </r>
  <r>
    <s v="B0GHSN1N24"/>
    <s v="HP Professional 15 (2026), Intel (i3 14th Gen) Core 3 100U - (16 GB/512 GB SSD/Intel UHD Graphics/Windows 11 Home) Thin &amp;amp; Light Business Laptop/15.6&amp;quot; Display/Turbo Silver/Copilot Key/1.5kg/MS Office"/>
    <x v="1"/>
    <n v="52300"/>
    <n v="75000"/>
    <n v="0.30299999999999999"/>
    <m/>
    <n v="0"/>
    <n v="1"/>
    <b v="0"/>
    <b v="0"/>
    <b v="0"/>
    <b v="0"/>
    <d v="2026-06-05T00:00:00"/>
    <s v=""/>
  </r>
  <r>
    <s v="B0H1W663BW"/>
    <s v="ð—›ð—£ð—£ð—¿ð—¼ð—¯ð—¼ð—¼ð—¸Model 430 G3 Business Laptop | InteI i5 6th Gen | 8GB RAM | 256GB SSD | WiFi | Webcam | Win10 Pro | Pre Owned &amp;amp; Professionally Tested | Excellent Condition"/>
    <x v="1"/>
    <n v="22800"/>
    <n v="44999"/>
    <n v="0.49299999999999999"/>
    <m/>
    <n v="0"/>
    <n v="1"/>
    <b v="0"/>
    <b v="0"/>
    <b v="0"/>
    <b v="0"/>
    <d v="2026-06-05T00:00:00"/>
    <s v=""/>
  </r>
  <r>
    <s v="B0F9X5DSBS"/>
    <s v="ASUS TUF F16, 14th Gen,Intel Core i7 14650HX,RTX 5060-8GB,16GB,1TB,FHD+,16&amp;quot;,165Hz,90WHrs,Windows 11,M365 Basic (1Year)*,Office 2024,Jaeger Gray,2.2 Kg, FX608JMR-RV049WS, Gaming Laptop"/>
    <x v="1"/>
    <n v="149990"/>
    <n v="173990"/>
    <n v="0.13800000000000001"/>
    <n v="4.4000000000000004"/>
    <n v="96"/>
    <n v="1"/>
    <b v="0"/>
    <b v="0"/>
    <b v="0"/>
    <b v="0"/>
    <d v="2026-06-05T00:00:00"/>
    <n v="422.40000000000003"/>
  </r>
  <r>
    <s v="B0F8QB4SBH"/>
    <s v="Lenovo IdeaPad Slim 3 13th Gen Intel Core i3-1315U 15.6 inch (39.6cm) FHD Laptop (8GB RAM/512GB SSD/Windows 11/Office 2024/Backlit Keyboard/1Yr ADP Free/3 Month Game Pass/Grey/1.6Kg), 82X700FXIN"/>
    <x v="1"/>
    <n v="49650"/>
    <n v="85000"/>
    <n v="0.41599999999999998"/>
    <n v="3.1"/>
    <n v="2"/>
    <n v="1"/>
    <b v="0"/>
    <b v="0"/>
    <b v="0"/>
    <b v="0"/>
    <d v="2026-06-05T00:00:00"/>
    <n v="6.2"/>
  </r>
  <r>
    <s v="B0GNK6BHB2"/>
    <s v="Dell Inspiron 5440 Notebook Computer, Intel Core 3 100U 14th Gen Processor, 8GB DDR5 RAM, 512GB SSD, 14&amp;quot; FHD+ Screen, Ubuntu, 1Yr Warranty, Ice Blue"/>
    <x v="1"/>
    <n v="43660"/>
    <n v="55000"/>
    <n v="0.20599999999999999"/>
    <n v="4.3"/>
    <n v="4"/>
    <n v="1"/>
    <b v="0"/>
    <b v="0"/>
    <b v="0"/>
    <b v="0"/>
    <d v="2026-06-05T00:00:00"/>
    <n v="17.2"/>
  </r>
  <r>
    <s v="B0CRKX3JRT"/>
    <s v="Dell G Series, 13th Gen Intel Core i5-13450HX, NVIDIA RTX 3050-6GB, 16GB DDR5, 512GB SSD, FHD, 15.6&amp;quot;/39.62cm, Windows 11, Microsoft Office Home 2024, 2.65KG, G15-5530, Backlit Keyboard, Gaming Laptop"/>
    <x v="1"/>
    <n v="76990"/>
    <n v="103436"/>
    <n v="0.25600000000000001"/>
    <n v="4"/>
    <n v="1506"/>
    <n v="1"/>
    <b v="0"/>
    <b v="0"/>
    <b v="0"/>
    <b v="0"/>
    <d v="2026-06-05T00:00:00"/>
    <n v="6024"/>
  </r>
  <r>
    <s v="B0GLXWY8ZX"/>
    <s v="acer Aspire 3, Intel Pentium N6000, 12GB LPDDR4X RAM, 512GB SSD, HD, 15.6&amp;quot;/39.62cm, Windows 11 Home, Pure Silver, 1.5KG, A325-45, Thin and Light Laptop"/>
    <x v="1"/>
    <n v="39990"/>
    <n v="49990"/>
    <n v="0.2"/>
    <n v="2.7"/>
    <n v="11"/>
    <n v="1"/>
    <b v="0"/>
    <b v="0"/>
    <b v="0"/>
    <b v="0"/>
    <d v="2026-06-05T00:00:00"/>
    <n v="29.700000000000003"/>
  </r>
  <r>
    <s v="B0C3D8BZVQ"/>
    <s v="HP 15 Laptop, AMD Ryzen 5 7520U (16GB DDR5,512GB SSD) Win11,M365 Basic(1yr)*Office Home24, Anti-Glare,15.6&amp;#x27;&amp;#x27;/39.6cm,FHD,Backlit KB,FHD Camera w/Privacy Shutter,Radeon Graphics, Silver,1.59kg FC0690AU"/>
    <x v="1"/>
    <n v="55490"/>
    <n v="55691"/>
    <n v="4.0000000000000001E-3"/>
    <n v="4.2"/>
    <n v="71"/>
    <n v="1"/>
    <b v="0"/>
    <b v="0"/>
    <b v="0"/>
    <b v="0"/>
    <d v="2026-06-05T00:00:00"/>
    <n v="298.2"/>
  </r>
  <r>
    <s v="B0G3PMNXLJ"/>
    <s v="HP 15, 13th Gen Intel Core i3-1315U (8GB DDR4, 512GB SSD), FHD, Micro -Edge, Anti-Glare, 15.6&amp;#x27;&amp;#x27;/39.6cm, Win11, M365* Office24, Silver, 1.59kg, fd0624tu, FHD Camera, UHD Graphics Laptop"/>
    <x v="1"/>
    <n v="48990"/>
    <n v="49631"/>
    <n v="1.2999999999999999E-2"/>
    <m/>
    <n v="0"/>
    <n v="1"/>
    <b v="0"/>
    <b v="0"/>
    <b v="0"/>
    <b v="0"/>
    <d v="2026-06-05T00:00:00"/>
    <s v=""/>
  </r>
  <r>
    <s v="B0FHY9XRGT"/>
    <s v="Alienware 16 Area-51 Gaming Laptop, AI Enabled Core Ultra 9 275HX Proc, 32GB DDR5, 1TB SSD, RTX 5070Ti 12GB GDDR7 Graphics, 16.0&amp;quot; WQXGA 240Hz 500 nits Display, Liquid Teal Color, Win 11 + MSO&amp;#x27;24,3.4kg"/>
    <x v="1"/>
    <n v="343990"/>
    <n v="407392"/>
    <n v="0.156"/>
    <m/>
    <n v="0"/>
    <n v="1"/>
    <b v="0"/>
    <b v="0"/>
    <b v="0"/>
    <b v="0"/>
    <d v="2026-06-05T00:00:00"/>
    <s v=""/>
  </r>
  <r>
    <s v="B0FFTLRYRV"/>
    <s v="HP 15, Intel Core 5 120U (14th Gen) 16GB DDR4, 512GB SSD, FHD, Anti-Glare, Micro-Edge, 15.6&amp;#x27;&amp;#x27;/39.6cm, Win11, M365 Basic(1yr), Office24, Silver,1.59kg, FD0640TU/682tu, FHD Camera w/Shutter, BL Laptop"/>
    <x v="1"/>
    <n v="67990"/>
    <n v="69629"/>
    <n v="2.4E-2"/>
    <n v="3.9"/>
    <n v="9"/>
    <n v="1"/>
    <b v="0"/>
    <b v="0"/>
    <b v="0"/>
    <b v="0"/>
    <d v="2026-06-05T00:00:00"/>
    <n v="35.1"/>
  </r>
  <r>
    <s v="B0GXDP9V8C"/>
    <s v="Wireless Bluetooth Headphones with Deep Bass Sound, Foldable Design, Comfortable Cushioned Earpads, Built-in Mic for Music &amp;amp; Calls, Average Battery(1-3 Hours) Backup, Stylish Everyday Use"/>
    <x v="2"/>
    <n v="299"/>
    <n v="999"/>
    <n v="0.70099999999999996"/>
    <n v="2.7"/>
    <n v="9"/>
    <n v="1"/>
    <b v="0"/>
    <b v="0"/>
    <b v="0"/>
    <b v="0"/>
    <d v="2026-06-05T00:00:00"/>
    <n v="24.3"/>
  </r>
  <r>
    <s v="B0F5PX1JVY"/>
    <s v="Sony WH-CH520 Wireless Bluetooth Headphones On Ear with Mic, Up to 50Hrs Battery-Pink"/>
    <x v="2"/>
    <n v="4490"/>
    <n v="5990"/>
    <n v="0.25"/>
    <n v="4.2"/>
    <n v="29505"/>
    <n v="1"/>
    <b v="0"/>
    <b v="0"/>
    <b v="0"/>
    <b v="0"/>
    <d v="2026-06-05T00:00:00"/>
    <n v="123921"/>
  </r>
  <r>
    <s v="B0FQJQDPF7"/>
    <s v="pTron Studio w/ 60Hrs Playtime, Wireless Over-Ear Headphones with HD Mic, Dual-Device Pairing, Immersive Sound, 40mm Drivers, BT5.4, 3.5mm Aux Port, TF Card Slot &amp;amp; Type-C Fast Charging (Beige)"/>
    <x v="2"/>
    <n v="649"/>
    <n v="2599"/>
    <n v="0.75"/>
    <n v="3.8"/>
    <n v="459"/>
    <n v="1"/>
    <b v="0"/>
    <b v="0"/>
    <b v="0"/>
    <b v="0"/>
    <d v="2026-06-05T00:00:00"/>
    <n v="1744.1999999999998"/>
  </r>
  <r>
    <s v="B00KGZZ824"/>
    <s v="Sony MDR-ZX110A On Ear Stereo Wired Headphones (White), Without Mic"/>
    <x v="2"/>
    <n v="559"/>
    <n v="1390"/>
    <n v="0.59799999999999998"/>
    <n v="4"/>
    <n v="67452"/>
    <n v="1"/>
    <b v="0"/>
    <b v="0"/>
    <b v="1"/>
    <b v="0"/>
    <d v="2026-06-05T00:00:00"/>
    <n v="269808"/>
  </r>
  <r>
    <s v="B09B5BS6G4"/>
    <s v="ZEBRONICS Thunder (2026 Upgrade) Wireless Headphones, BT v6.0, True 60 hrs Playback, 40mm Drivers, ENC, Gaming Mode, Dual Pairing, AUX &amp;amp; microSD, Rapid Charging, Call Function (Teal Green)"/>
    <x v="2"/>
    <n v="749"/>
    <n v="1699"/>
    <n v="0.55900000000000005"/>
    <n v="3.8"/>
    <n v="81867"/>
    <n v="1"/>
    <b v="0"/>
    <b v="0"/>
    <b v="0"/>
    <b v="0"/>
    <d v="2026-06-05T00:00:00"/>
    <n v="311094.59999999998"/>
  </r>
  <r>
    <s v="B0DGTTKCJX"/>
    <s v="boAt Rockerz 480, RGB LEDs,6 Light Modes, 40mm Drivers,Beast Mode, 60H Battery, ENx Tech, Stream Ad Free Music via App Support, Bluetooth Headphones, Wireless Over Ear Headphone with Mic (White Sabre)"/>
    <x v="2"/>
    <n v="1599"/>
    <n v="3790"/>
    <n v="0.57799999999999996"/>
    <n v="4.0999999999999996"/>
    <n v="3939"/>
    <n v="1"/>
    <b v="0"/>
    <b v="0"/>
    <b v="0"/>
    <b v="0"/>
    <d v="2026-06-05T00:00:00"/>
    <n v="16149.899999999998"/>
  </r>
  <r>
    <s v="B0CWVX1GNX"/>
    <s v="Sony ULT Wear WH-ULT900N Noise Cancellation Wireless Bluetooth Over Ear Headphones with Massive Bass, Up to 50Hrs Battery-Black"/>
    <x v="2"/>
    <n v="16990"/>
    <n v="24990"/>
    <n v="0.32"/>
    <n v="4.3"/>
    <n v="3467"/>
    <n v="1"/>
    <b v="0"/>
    <b v="0"/>
    <b v="0"/>
    <b v="0"/>
    <d v="2026-06-05T00:00:00"/>
    <n v="14908.099999999999"/>
  </r>
  <r>
    <s v="B0F7LY85KB"/>
    <s v="Boat Rockerz 421, 60H Battery, Low Latency(40Ms), 40Mm Drivers, ENx Tech, Stream Ad Free Music via App Support, Bluetooth Headphones, Wireless Over Ear Headphone with Mic (Bold Blue)"/>
    <x v="2"/>
    <n v="1099"/>
    <n v="2490"/>
    <n v="0.55900000000000005"/>
    <n v="3.9"/>
    <n v="2079"/>
    <n v="1"/>
    <b v="0"/>
    <b v="0"/>
    <b v="0"/>
    <b v="0"/>
    <d v="2026-06-05T00:00:00"/>
    <n v="8108.0999999999995"/>
  </r>
  <r>
    <s v="B09R24HMNW"/>
    <s v="ZEBRONICS Bro 3.5Mm Wired in Ear Earphones, in-Line Mic, Deep Bass, 1.2M Strong and Long Lasting Cable, Light Weight, Compatible with Mobile | Tablet | Laptop (Blue)"/>
    <x v="2"/>
    <n v="139"/>
    <n v="399"/>
    <n v="0.65200000000000002"/>
    <n v="3.5"/>
    <n v="69921"/>
    <n v="1"/>
    <b v="0"/>
    <b v="0"/>
    <b v="0"/>
    <b v="0"/>
    <d v="2026-06-05T00:00:00"/>
    <n v="244723.5"/>
  </r>
  <r>
    <s v="B0BXXPG6FP"/>
    <s v="Sony WH-CH720N Active Noise Cancellation Wireless Bluetooth Over Ear Headphones with Mic, Adaptive Sound Control, Quick Charge, Up to 35Hrs Battery, Customized EQ- Blue : Model : YY2966"/>
    <x v="2"/>
    <n v="9431"/>
    <n v="14990"/>
    <n v="0.371"/>
    <n v="4.3"/>
    <n v="15735"/>
    <n v="1"/>
    <b v="0"/>
    <b v="0"/>
    <b v="0"/>
    <b v="0"/>
    <d v="2026-06-05T00:00:00"/>
    <n v="67660.5"/>
  </r>
  <r>
    <s v="B0GXDPKM5J"/>
    <s v="Wireless Bluetooth Headphones with Deep Bass Sound, Foldable Design, Comfortable Cushioned Earpads, Built-in Mic for Music &amp;amp; Calls, Average Battery(1-3 Hours) Backup, Stylish Everyday Use"/>
    <x v="2"/>
    <n v="299"/>
    <n v="999"/>
    <n v="0.70099999999999996"/>
    <n v="2.7"/>
    <n v="9"/>
    <n v="1"/>
    <b v="0"/>
    <b v="0"/>
    <b v="0"/>
    <b v="0"/>
    <d v="2026-06-05T00:00:00"/>
    <n v="24.3"/>
  </r>
  <r>
    <s v="B0FC2Y8XYF"/>
    <s v="Boat Rockerz 411, 40Ms Low Latency, 40Hrs Battery, 40Mm Drivers, ENx Tech, Stream Ad Free Music via App Support, Bluetooth Headphones, Wireless Over Ear Headphone with Mic (Active Black)"/>
    <x v="2"/>
    <n v="1199"/>
    <n v="2999"/>
    <n v="0.6"/>
    <n v="4.2"/>
    <n v="28473"/>
    <n v="1"/>
    <b v="0"/>
    <b v="0"/>
    <b v="0"/>
    <b v="0"/>
    <d v="2026-06-05T00:00:00"/>
    <n v="119586.6"/>
  </r>
  <r>
    <s v="B0FGTZ19JS"/>
    <s v="pTron Studio Evo 70hrs Playtime Wireless Over Ear Headphones w/HD Mic, Dual Device Pairing, Low-Latency Game/Movie/Music Modes, Punchy Bass, BT5.3, Voice Assistant &amp;amp; Type-C Fast Charging (Beige)"/>
    <x v="2"/>
    <n v="797"/>
    <n v="3199"/>
    <n v="0.751"/>
    <n v="4.0999999999999996"/>
    <n v="1916"/>
    <n v="1"/>
    <b v="0"/>
    <b v="0"/>
    <b v="0"/>
    <b v="0"/>
    <d v="2026-06-05T00:00:00"/>
    <n v="7855.5999999999995"/>
  </r>
  <r>
    <s v="B09CYX92NB"/>
    <s v="JBL Tune 770NC Wireless Over Ear ANC Headphones with Mic, Upto 70 Hrs Battery, Speed Charge : 5 min Charge Gives up to 3H of Playback, Customized EQ, Google Fast Pair, Dual Pairing, BT 5.3 (Black)"/>
    <x v="2"/>
    <n v="4999"/>
    <n v="9999"/>
    <n v="0.5"/>
    <n v="4.0999999999999996"/>
    <n v="11390"/>
    <n v="1"/>
    <b v="0"/>
    <b v="0"/>
    <b v="0"/>
    <b v="0"/>
    <d v="2026-06-05T00:00:00"/>
    <n v="46698.999999999993"/>
  </r>
  <r>
    <s v="B0FG2QT7H2"/>
    <s v="Boat Rockerz 512 ANC,(~40dB) Hybrid ANC, 80H Battery, 40mm Drivers, 40ms Low Latency, ENx Tech,Stream Ad Free Music via App Support, Bluetooth Headphones, Wireless Headphone with Mic (Cosmic Black)"/>
    <x v="2"/>
    <n v="2699"/>
    <n v="7990"/>
    <n v="0.66200000000000003"/>
    <n v="4.2"/>
    <n v="31059"/>
    <n v="1"/>
    <b v="0"/>
    <b v="0"/>
    <b v="0"/>
    <b v="0"/>
    <d v="2026-06-05T00:00:00"/>
    <n v="130447.8"/>
  </r>
  <r>
    <s v="B0B4G44RFS"/>
    <s v="ZEBRONICS Storm Wired On Ear Headphone with 3.5mm Jack, Built-in Microphone for Calling,1.5 Meter Cable, Soft Ear Cushion, Adjustable Headband,Foldable Ear Cups (Black)"/>
    <x v="2"/>
    <n v="449"/>
    <n v="799"/>
    <n v="0.438"/>
    <n v="3.7"/>
    <n v="4662"/>
    <n v="1"/>
    <b v="0"/>
    <b v="0"/>
    <b v="0"/>
    <b v="0"/>
    <d v="2026-06-05T00:00:00"/>
    <n v="17249.400000000001"/>
  </r>
  <r>
    <s v="B0CY1PL36Q"/>
    <s v="Noise Airwave Max 4 Wireless Over Ear Headphones with 70H Playtime, ENC, 40mm Driver, Low Latency(up to 40ms), Dual Pairing, BT v5.4 (Calm Beige)"/>
    <x v="2"/>
    <n v="2499"/>
    <n v="5999"/>
    <n v="0.58299999999999996"/>
    <n v="3.8"/>
    <n v="4353"/>
    <n v="1"/>
    <b v="0"/>
    <b v="0"/>
    <b v="0"/>
    <b v="0"/>
    <d v="2026-06-05T00:00:00"/>
    <n v="16541.399999999998"/>
  </r>
  <r>
    <s v="B0B1PX62WJ"/>
    <s v="Noise Two Wireless On Ear Headphones with 50 Hours Playtime, Low Latency(up to 45ms), 4 Play Modes, Dual Pairing, BT v5.3 (Bold Black)"/>
    <x v="2"/>
    <n v="1499"/>
    <n v="4999"/>
    <n v="0.7"/>
    <n v="3.7"/>
    <n v="4693"/>
    <n v="1"/>
    <b v="0"/>
    <b v="0"/>
    <b v="0"/>
    <b v="0"/>
    <d v="2026-06-05T00:00:00"/>
    <n v="17364.100000000002"/>
  </r>
  <r>
    <s v="B0DV5GLTLZ"/>
    <s v="Boat Rockerz 650 Pro, Touch/Swipe Controls, Dolby Audio, 80Hrs Battery, 2Mics ENx, Fast Charge, App Support, Dual Pair, Bluetooth Over Ear Headphones with Mic (Sage Green)"/>
    <x v="2"/>
    <n v="2699"/>
    <n v="8990"/>
    <n v="0.7"/>
    <n v="4.2"/>
    <n v="3871"/>
    <n v="1"/>
    <b v="0"/>
    <b v="0"/>
    <b v="0"/>
    <b v="0"/>
    <d v="2026-06-05T00:00:00"/>
    <n v="16258.2"/>
  </r>
  <r>
    <s v="B00Y4ORQ46"/>
    <s v="Logitech H111 Wired On Ear Headphones With Mic Black"/>
    <x v="2"/>
    <n v="745"/>
    <n v="955"/>
    <n v="0.22"/>
    <n v="3.9"/>
    <n v="20495"/>
    <n v="1"/>
    <b v="0"/>
    <b v="0"/>
    <b v="0"/>
    <b v="0"/>
    <d v="2026-06-05T00:00:00"/>
    <n v="79930.5"/>
  </r>
  <r>
    <s v="B071Z8M4KX"/>
    <s v="Boat BassHeads 100 in-Ear Headphones with Mic (Black)"/>
    <x v="2"/>
    <n v="349"/>
    <n v="999"/>
    <n v="0.65100000000000002"/>
    <n v="4.0999999999999996"/>
    <n v="435089"/>
    <n v="1"/>
    <b v="0"/>
    <b v="0"/>
    <b v="0"/>
    <b v="0"/>
    <d v="2026-06-05T00:00:00"/>
    <n v="1783864.9"/>
  </r>
  <r>
    <s v="B0FHHKP966"/>
    <s v="Boat Bassheads 211 Wired Earphones with 10mm Drivers, Signature Sound, in-Line Microphone, 3.5mm Jack, Voice Assistant &amp;amp; 120cm Cables (Raging Black)"/>
    <x v="2"/>
    <n v="299"/>
    <n v="599"/>
    <n v="0.501"/>
    <n v="4"/>
    <n v="118740"/>
    <n v="1"/>
    <b v="0"/>
    <b v="0"/>
    <b v="0"/>
    <b v="0"/>
    <d v="2026-06-05T00:00:00"/>
    <n v="474960"/>
  </r>
  <r>
    <s v="B0FHHM74H8"/>
    <s v="Boat Rockerz Plus 550, Customizable Earcups, 100H Battery, 50mm Drivers, Dual Pair, Stream Ad Free Music via App Support, Bluetooth Headphones, Wireless Headphone with Mic (Black Psyche)"/>
    <x v="2"/>
    <n v="1899"/>
    <n v="4990"/>
    <n v="0.61899999999999999"/>
    <n v="4.0999999999999996"/>
    <n v="66390"/>
    <n v="1"/>
    <b v="0"/>
    <b v="0"/>
    <b v="0"/>
    <b v="0"/>
    <d v="2026-06-05T00:00:00"/>
    <n v="272199"/>
  </r>
  <r>
    <s v="B08KHT2HDT"/>
    <s v="Marshall Major IV Wireless Bluetooth On Ear Headphone with Mic (Black)"/>
    <x v="2"/>
    <n v="9999"/>
    <n v="14999"/>
    <n v="0.33300000000000002"/>
    <n v="4.3"/>
    <n v="16791"/>
    <n v="1"/>
    <b v="0"/>
    <b v="0"/>
    <b v="0"/>
    <b v="0"/>
    <d v="2026-06-05T00:00:00"/>
    <n v="72201.3"/>
  </r>
  <r>
    <s v="B074ZF7PVZ"/>
    <s v="boAt Bassheads 900 On Ear Wired Headphone With Mic"/>
    <x v="2"/>
    <n v="899"/>
    <n v="2490"/>
    <n v="0.63900000000000001"/>
    <n v="4.2"/>
    <n v="78437"/>
    <n v="1"/>
    <b v="0"/>
    <b v="0"/>
    <b v="0"/>
    <b v="0"/>
    <d v="2026-06-05T00:00:00"/>
    <n v="329435.40000000002"/>
  </r>
  <r>
    <s v="B0DT9T945X"/>
    <s v="GOBOULT X Mustang Q Over Ear Bluetooth Headphones 70H Playtime, 40mm Bass Drivers, Zen ENC Mic, Type-C Fast Charging, 4 EQ Mode, Bluetooth 5.4, AUX Option, IPX5 Wireless Headphones"/>
    <x v="2"/>
    <n v="2499"/>
    <n v="6999"/>
    <n v="0.64300000000000002"/>
    <n v="4"/>
    <n v="1215"/>
    <n v="1"/>
    <b v="0"/>
    <b v="0"/>
    <b v="0"/>
    <b v="0"/>
    <d v="2026-06-05T00:00:00"/>
    <n v="4860"/>
  </r>
  <r>
    <s v="B0GXL3373V"/>
    <s v="GOBOULT Fluid X 60Hrs Playtime, 40mm Boosted Drivers, Foldable Design, ENC Mic, 5.4v Bluetooth &amp;amp; Wired Headset (Electric Black, On the Ear)"/>
    <x v="2"/>
    <n v="1999"/>
    <n v="5999"/>
    <n v="0.66700000000000004"/>
    <n v="4.0999999999999996"/>
    <n v="101"/>
    <n v="1"/>
    <b v="0"/>
    <b v="0"/>
    <b v="0"/>
    <b v="0"/>
    <d v="2026-06-05T00:00:00"/>
    <n v="414.09999999999997"/>
  </r>
  <r>
    <s v="B01DF26V7A"/>
    <s v="JBL C100SI Wired In Ear Headphones with Mic, JBL Pure Bass Sound, One Button Multi-function Remote, Premium Metallic Finish, Angled Buds for Comfort fit (Red)"/>
    <x v="2"/>
    <n v="649"/>
    <n v="1299"/>
    <n v="0.5"/>
    <n v="4.0999999999999996"/>
    <n v="205880"/>
    <n v="1"/>
    <b v="0"/>
    <b v="0"/>
    <b v="0"/>
    <b v="0"/>
    <d v="2026-06-05T00:00:00"/>
    <n v="844107.99999999988"/>
  </r>
  <r>
    <s v="B08WBJHVYV"/>
    <s v="Razer BlackShark V2 X Smartchoice Wired Gaming Headset with Mic, 7.1 Surround Sound, 50mm Drivers, Memory Foam Cushions, Multi-Platform (PC/PS/Xbox/Switch/Mobile), 3.5mm Jack_Black"/>
    <x v="2"/>
    <n v="3999"/>
    <n v="7999"/>
    <n v="0.5"/>
    <n v="4.4000000000000004"/>
    <n v="4443"/>
    <n v="1"/>
    <b v="0"/>
    <b v="0"/>
    <b v="0"/>
    <b v="0"/>
    <d v="2026-06-05T00:00:00"/>
    <n v="19549.2"/>
  </r>
  <r>
    <s v="B00SAYCXWG"/>
    <s v="HyperX Cloud II â€“ Wired Gaming Headset for PC, PS5 / PS4. Active Noise Cancellation, Over Ear, circumaural, Closed Back, HyperX Virtual 7.1 Surround Sound - Black-Red (4P5M0AA)"/>
    <x v="2"/>
    <n v="5499"/>
    <n v="12987"/>
    <n v="0.57699999999999996"/>
    <n v="4.3"/>
    <n v="97953"/>
    <n v="1"/>
    <b v="0"/>
    <b v="0"/>
    <b v="0"/>
    <b v="0"/>
    <d v="2026-06-05T00:00:00"/>
    <n v="421197.89999999997"/>
  </r>
  <r>
    <s v="B0GXDT4CHF"/>
    <s v="Wireless Bluetooth Headphones with Deep Bass Sound, Foldable Design, Comfortable Cushioned Earpads, Built-in Mic for Music &amp;amp; Calls, Average Battery(1-3 Hours) Backup, Stylish Everyday Use"/>
    <x v="2"/>
    <n v="299"/>
    <n v="999"/>
    <n v="0.70099999999999996"/>
    <n v="2.7"/>
    <n v="9"/>
    <n v="1"/>
    <b v="0"/>
    <b v="0"/>
    <b v="0"/>
    <b v="0"/>
    <d v="2026-06-05T00:00:00"/>
    <n v="24.3"/>
  </r>
  <r>
    <s v="B0DGX1VCWX"/>
    <s v="Spigen Audio Newly Launched SA-HP P10 Wireless Over Ear Headphones with 60H Playtime, Upto 43dB Multi-Mode Adaptive ANC Pro, EQ Customizing App, 5-MIC, Gaming Mode, 40mm Driver - Black"/>
    <x v="2"/>
    <n v="2499"/>
    <n v="5899"/>
    <n v="0.57599999999999996"/>
    <n v="4.3"/>
    <n v="124"/>
    <n v="1"/>
    <b v="0"/>
    <b v="0"/>
    <b v="0"/>
    <b v="0"/>
    <d v="2026-06-05T00:00:00"/>
    <n v="533.19999999999993"/>
  </r>
  <r>
    <s v="B0FRSD3CF5"/>
    <s v="boAt Rockerz Trendz, 40mm Drivers, 50hrs Battery, 60ms Low Latency, ENx Tech, BT v5.4, Foldable Cups, Voice Assistant, Bluetooth Headphones, Wireless Headphone with Mic - Bold Blue"/>
    <x v="2"/>
    <n v="998"/>
    <n v="2999"/>
    <n v="0.66700000000000004"/>
    <n v="4"/>
    <n v="116"/>
    <n v="2"/>
    <b v="0"/>
    <b v="0"/>
    <b v="0"/>
    <b v="0"/>
    <d v="2026-06-05T00:00:00"/>
    <n v="464"/>
  </r>
  <r>
    <s v="B0D7QKT1N2"/>
    <s v="M.G.R.JÂ® Portable Carrying Case Cover for Boat Rockerz 450 Bluetooth On Ear Headphones (Hard|EVA|Black)"/>
    <x v="2"/>
    <n v="299"/>
    <n v="999"/>
    <n v="0.70099999999999996"/>
    <n v="4.2"/>
    <n v="564"/>
    <n v="1"/>
    <b v="0"/>
    <b v="0"/>
    <b v="0"/>
    <b v="0"/>
    <d v="2026-06-05T00:00:00"/>
    <n v="2368.8000000000002"/>
  </r>
  <r>
    <s v="B0G59967NX"/>
    <s v="Portronics Muffs M6 Over Ear Wireless Bluetooth Headphone with Upto 40 Hours Playtime, Dual Pairing, 40mm Driver, HD Mic, Bluetooth 5.4V, Foldable Design, Type C Fast Charging (Black)"/>
    <x v="2"/>
    <n v="1149"/>
    <n v="2499"/>
    <n v="0.54"/>
    <n v="4.3"/>
    <n v="389"/>
    <n v="1"/>
    <b v="0"/>
    <b v="0"/>
    <b v="0"/>
    <b v="0"/>
    <d v="2026-06-05T00:00:00"/>
    <n v="1672.6999999999998"/>
  </r>
  <r>
    <s v="B000AJIF4E"/>
    <s v="Sony MDR-7506 Professional Wired On Ear Headphones (Best Compatible with Professional Cinema Line Camera) - Black"/>
    <x v="2"/>
    <n v="7846"/>
    <n v="9990"/>
    <n v="0.215"/>
    <n v="4.5999999999999996"/>
    <n v="27075"/>
    <n v="1"/>
    <b v="0"/>
    <b v="0"/>
    <b v="0"/>
    <b v="0"/>
    <d v="2026-06-05T00:00:00"/>
    <n v="124544.99999999999"/>
  </r>
  <r>
    <s v="B0FS1Z5X5Z"/>
    <s v="Noise Airwave Max 6 Wireless Bluetooth Headphones (2026 Launch), Hi-Res LDAC Audio, Adaptive ANC 45dB, 120H Battery, Low Latency 80ms, Deep Bass, Over-Ear Noise Cancelling Headphones (Forest Green)"/>
    <x v="2"/>
    <n v="6499"/>
    <n v="6999"/>
    <n v="7.0999999999999994E-2"/>
    <m/>
    <n v="0"/>
    <n v="1"/>
    <b v="0"/>
    <b v="0"/>
    <b v="0"/>
    <b v="0"/>
    <d v="2026-06-05T00:00:00"/>
    <s v=""/>
  </r>
  <r>
    <s v="B009LJ2BXA"/>
    <s v="HP Wired On Ear Headphones with Mic with 3.5 Mm Drivers, in-Built Noise Cancelling, Foldable and Adjustable for Laptop/Pc/Office/Home/ 1 Year Warranty (B4B09PA)"/>
    <x v="2"/>
    <n v="665"/>
    <n v="889"/>
    <n v="0.252"/>
    <n v="3.5"/>
    <n v="10539"/>
    <n v="1"/>
    <b v="0"/>
    <b v="0"/>
    <b v="0"/>
    <b v="0"/>
    <d v="2026-06-05T00:00:00"/>
    <n v="36886.5"/>
  </r>
  <r>
    <s v="B00K0AMYFO"/>
    <s v="Sony ZX Series MDR-ZX310AP Wired Headband Stereo On Ear Headset -Blue"/>
    <x v="2"/>
    <n v="1099"/>
    <n v="2190"/>
    <n v="0.498"/>
    <n v="4.0999999999999996"/>
    <n v="1801"/>
    <n v="1"/>
    <b v="0"/>
    <b v="0"/>
    <b v="0"/>
    <b v="0"/>
    <d v="2026-06-05T00:00:00"/>
    <n v="7384.0999999999995"/>
  </r>
  <r>
    <s v="B0GS8X6VX6"/>
    <s v="Zebronics Wireless Headphones, Hybrid ANC 48dB, Upto 100Hrs Playback, 40mm Drivers, Dual Mic ENC, BT v6.0, Gaming Mode, Dual Pairing, Touch Controls, App Support, AUX (Silencio 200T, Blue)"/>
    <x v="2"/>
    <n v="2999"/>
    <n v="9999"/>
    <n v="0.7"/>
    <n v="4.0999999999999996"/>
    <n v="41"/>
    <n v="1"/>
    <b v="0"/>
    <b v="0"/>
    <b v="0"/>
    <b v="0"/>
    <d v="2026-06-05T00:00:00"/>
    <n v="168.1"/>
  </r>
  <r>
    <s v="B0DGJLL7V1"/>
    <s v="Apple AirPods 4 Wireless Earbuds, Bluetooth Headphones, Personalised Spatial Audio, Sweat and Water Resistant, USB-C Charging Case, H2 Chip, Up to 30 Hours of Battery Life, Effortless Setup for iPhone"/>
    <x v="2"/>
    <n v="11700"/>
    <n v="12900"/>
    <n v="9.2999999999999999E-2"/>
    <n v="4.2"/>
    <n v="1135"/>
    <n v="1"/>
    <b v="0"/>
    <b v="0"/>
    <b v="0"/>
    <b v="0"/>
    <d v="2026-06-05T00:00:00"/>
    <n v="4767"/>
  </r>
  <r>
    <s v="B0CHMMVHQL"/>
    <s v="JBL Live 770NC True Adaptive Noise Cancellation Headphones Wireless Over Ear, Spatial Sound, 65Hrs Playtime, Speed Charge, Multipoint Connect &amp;amp; Personi-Fi 2.0, Customized EQ, Google Fast Pair, Blue"/>
    <x v="2"/>
    <n v="8999"/>
    <n v="14999"/>
    <n v="0.4"/>
    <n v="4.0999999999999996"/>
    <n v="693"/>
    <n v="1"/>
    <b v="0"/>
    <b v="0"/>
    <b v="0"/>
    <b v="0"/>
    <d v="2026-06-05T00:00:00"/>
    <n v="2841.2999999999997"/>
  </r>
  <r>
    <s v="B0D573NP19"/>
    <s v="ZEBRONICS Duke Plus (2026 Upgrade) Wireless Headphones, BT v5.4, Upto 70hrs Playback, 40mm Drivers, Gaming Mode, ENC, Dual Pairing, Rapid Charge, AUX, 3 EQ Modes (Black)"/>
    <x v="2"/>
    <n v="1399"/>
    <n v="7999"/>
    <n v="0.82499999999999996"/>
    <n v="3.8"/>
    <n v="16702"/>
    <n v="1"/>
    <b v="0"/>
    <b v="0"/>
    <b v="0"/>
    <b v="0"/>
    <d v="2026-06-05T00:00:00"/>
    <n v="63467.6"/>
  </r>
  <r>
    <s v="B0F29P775Z"/>
    <s v="Sounce Portable Carrying Case Cover for Boult Newly Launched Q Over-Ear Bluetooth Headphones | Hard EVA Travel Storage Case with Shockproof, Waterproof, andPremium Protective Cover â€“ Black"/>
    <x v="2"/>
    <n v="249"/>
    <n v="499"/>
    <n v="0.501"/>
    <n v="4.2"/>
    <n v="1297"/>
    <n v="1"/>
    <b v="0"/>
    <b v="0"/>
    <b v="0"/>
    <b v="0"/>
    <d v="2026-06-05T00:00:00"/>
    <n v="5447.4000000000005"/>
  </r>
  <r>
    <s v="B0FBRGKXHG"/>
    <s v="OnePlus Bullets Wireless Z3 in-Ear Neckband with 12.4mm Drivers, 3D Spatial Audio,10 mins Charge for 27 hrs Playback, 4 EQ preset, Dynamic bass Enhancement &amp;amp; BT5.4"/>
    <x v="2"/>
    <n v="1699"/>
    <n v="1999"/>
    <n v="0.15"/>
    <n v="4.2"/>
    <n v="231223"/>
    <n v="1"/>
    <b v="0"/>
    <b v="0"/>
    <b v="0"/>
    <b v="0"/>
    <d v="2026-06-05T00:00:00"/>
    <n v="971136.60000000009"/>
  </r>
  <r>
    <s v="B0FZC523RD"/>
    <s v="pTron Tangent Rush w/ 50Hrs Playtime, Pristine Sound, Dual-Device Pairing, Bluetooth 5.4 Wireless in-Ear Earphones with Mic, Voice Assistant, Type-C Fast Charging &amp;amp; IPX5 Water Resistant (Ink Blue)"/>
    <x v="2"/>
    <n v="497"/>
    <n v="1799"/>
    <n v="0.72399999999999998"/>
    <n v="3.6"/>
    <n v="1196"/>
    <n v="1"/>
    <b v="0"/>
    <b v="0"/>
    <b v="0"/>
    <b v="0"/>
    <d v="2026-06-05T00:00:00"/>
    <n v="4305.6000000000004"/>
  </r>
  <r>
    <s v="B0BZHT8T7T"/>
    <s v="Boat Rockerz 551ANC, 100HRS Battery, Hybrid ANC(~35Db), Fast Charge, Ambient Sound Mode &amp;amp; Dual EQ Modes, Enx Tech, Bluetooth Headphones, Over Ear Wireless Headphone with Mic (Sage Green)"/>
    <x v="2"/>
    <n v="2799"/>
    <n v="7990"/>
    <n v="0.65"/>
    <n v="3.5"/>
    <n v="2518"/>
    <n v="1"/>
    <b v="0"/>
    <b v="0"/>
    <b v="0"/>
    <b v="0"/>
    <d v="2026-06-05T00:00:00"/>
    <n v="8813"/>
  </r>
  <r>
    <s v="B0F9PJJLCT"/>
    <s v="Noise Newly Launched Airwave Max XR Wireless Over-Ear Headphones with 120H Playtime, ANC, HFA Tech, Spatial Audio, Dual Pairing,BT V6.0(Pearl Beige)"/>
    <x v="2"/>
    <n v="2999"/>
    <n v="4999"/>
    <n v="0.4"/>
    <m/>
    <n v="0"/>
    <n v="1"/>
    <b v="0"/>
    <b v="0"/>
    <b v="0"/>
    <b v="0"/>
    <d v="2026-06-05T00:00:00"/>
    <s v=""/>
  </r>
  <r>
    <s v="B0BSGXWTGP"/>
    <s v="Bouncefit D20 Y68 Fitness Band Smart Watch for Men, Women, Boys, Girls, Kids â€“ Single Touch Interface, Water Resistant, Workout Modes, Quick Charge Sports Smartwatch â€“ Jet Black"/>
    <x v="3"/>
    <n v="396"/>
    <n v="2999"/>
    <n v="0.86799999999999999"/>
    <n v="3.4"/>
    <n v="4138"/>
    <n v="1"/>
    <b v="0"/>
    <b v="0"/>
    <b v="0"/>
    <b v="0"/>
    <d v="2026-06-05T00:00:00"/>
    <n v="14069.199999999999"/>
  </r>
  <r>
    <s v="B0D9629NJQ"/>
    <s v="Fastrack Limitless Glide X 1.83&amp;quot; Smart Watch with Ultra UV HD Display, SpO2, Heart Rate &amp;amp; Sleep Tracking, Bluetooth Calling, 100+ Sports Modes, 5-Day Battery, Smartwatch for Men &amp;amp; Women (Black)"/>
    <x v="3"/>
    <n v="1299"/>
    <n v="2799"/>
    <n v="0.53600000000000003"/>
    <n v="4"/>
    <n v="4014"/>
    <n v="1"/>
    <b v="0"/>
    <b v="0"/>
    <b v="1"/>
    <b v="0"/>
    <d v="2026-06-05T00:00:00"/>
    <n v="16056"/>
  </r>
  <r>
    <s v="B0D45BT2S2"/>
    <s v="Bouncefit M I D116 Fitness Band Smart Watch for Men, Women, Boys, Girls, Kids â€“ Single Touch Interface, Water Resistant, Workout Modes, Quick Charge Sports Smartwatch â€“ Black I"/>
    <x v="3"/>
    <n v="396"/>
    <n v="2999"/>
    <n v="0.86799999999999999"/>
    <n v="3.6"/>
    <n v="539"/>
    <n v="1"/>
    <b v="0"/>
    <b v="0"/>
    <b v="0"/>
    <b v="0"/>
    <d v="2026-06-05T00:00:00"/>
    <n v="1940.4"/>
  </r>
  <r>
    <s v="B0DY7YPBJL"/>
    <s v="Fire-Boltt Phoenix Pro Round Smart Watch 1.39â€³ HD Display with Bluetooth Calling, AI Voice Assistant, SpO2 &amp;amp; Heart Rate Monitor, 120+ Sports Modes, IP67 Waterproof Smartwatch for Men &amp;amp; Women - Brown"/>
    <x v="3"/>
    <n v="1099"/>
    <n v="11999"/>
    <n v="0.90800000000000003"/>
    <n v="3.7"/>
    <n v="6827"/>
    <n v="1"/>
    <b v="0"/>
    <b v="0"/>
    <b v="0"/>
    <b v="0"/>
    <d v="2026-06-05T00:00:00"/>
    <n v="25259.9"/>
  </r>
  <r>
    <s v="B0G61HJYR3"/>
    <s v="Fire-Boltt Ninja X Ring Smart Watch with 1.96â€ Large Display, Bluetooth Calling, Wireless Charging, AI Voice Assistant, 500+ Watch Faces, Health Suite, Smart Watch for Man &amp;amp; Woman â€“ Blue S"/>
    <x v="3"/>
    <n v="1099"/>
    <n v="9999"/>
    <n v="0.89"/>
    <n v="4.0999999999999996"/>
    <n v="18663"/>
    <n v="1"/>
    <b v="0"/>
    <b v="0"/>
    <b v="0"/>
    <b v="0"/>
    <d v="2026-06-05T00:00:00"/>
    <n v="76518.299999999988"/>
  </r>
  <r>
    <s v="B0CQ4KTCH1"/>
    <s v="Noise Twist Go Round dial Smartwatch with BT Calling, 1.39&amp;quot; Display, Metal Build, 100+ Watch Faces, IP68, Sleep Tracking, 100+ Sports Modes, 24/7 Heart Rate Monitoring (Jet Black)"/>
    <x v="3"/>
    <n v="1599"/>
    <n v="4999"/>
    <n v="0.68"/>
    <n v="4"/>
    <n v="54869"/>
    <n v="1"/>
    <b v="0"/>
    <b v="0"/>
    <b v="0"/>
    <b v="0"/>
    <d v="2026-06-05T00:00:00"/>
    <n v="219476"/>
  </r>
  <r>
    <s v="B0FLF38P8G"/>
    <s v="Boat Wave Call 3 Smartwatch 1.83â€ HD Display with Animated Watch Faces; BT Calling, Functional Crown, Multiple Sports Modes, IP68, HR, SpO2 Monitor, Smart Watches for Men &amp;amp; Women (Spring Blossom)"/>
    <x v="3"/>
    <n v="1399"/>
    <n v="6999"/>
    <n v="0.8"/>
    <n v="4.0999999999999996"/>
    <n v="25992"/>
    <n v="1"/>
    <b v="0"/>
    <b v="0"/>
    <b v="0"/>
    <b v="0"/>
    <d v="2026-06-05T00:00:00"/>
    <n v="106567.2"/>
  </r>
  <r>
    <s v="B0B854R7NS"/>
    <s v="Fire-Boltt Ninja Call Pro Bluetooth Calling Smart Watch, 1.69â€³ HD Display,Dual Chip,AI Voice Assistant, 120+ Sports Modes, SpO2 &amp;amp; Heart Rate Monitor, Fitness Tracker Smartwatch for Men &amp;amp; Women - Black"/>
    <x v="3"/>
    <n v="1399"/>
    <n v="17999"/>
    <n v="0.92200000000000004"/>
    <n v="3.9"/>
    <n v="131228"/>
    <n v="1"/>
    <b v="0"/>
    <b v="0"/>
    <b v="0"/>
    <b v="0"/>
    <d v="2026-06-05T00:00:00"/>
    <n v="511789.2"/>
  </r>
  <r>
    <s v="B0D963J6GN"/>
    <s v="Fastrack Limitless Glide X 1.83&amp;quot; Smart Watch with Ultra UV HD Display, SpO2, Heart Rate &amp;amp; Sleep Tracking, Bluetooth Calling, 100+ Sports Modes, 5-Day Battery, Smartwatch for Men &amp;amp; Women (Blue)"/>
    <x v="3"/>
    <n v="1299"/>
    <n v="2799"/>
    <n v="0.53600000000000003"/>
    <n v="4"/>
    <n v="419"/>
    <n v="1"/>
    <b v="0"/>
    <b v="0"/>
    <b v="0"/>
    <b v="0"/>
    <d v="2026-06-05T00:00:00"/>
    <n v="1676"/>
  </r>
  <r>
    <s v="B0B6BPTFT5"/>
    <s v="Noise Pulse 2 Max 1.85&amp;quot; Display, Bluetooth Calling Smart Watch, 10 Days Battery, 550 NITS Brightness, Smart DND, 100 Sports Modes, Smartwatch for Men and Women (Deep Wine)"/>
    <x v="3"/>
    <n v="1499"/>
    <n v="5999"/>
    <n v="0.75"/>
    <n v="4"/>
    <n v="25468"/>
    <n v="1"/>
    <b v="0"/>
    <b v="0"/>
    <b v="0"/>
    <b v="0"/>
    <d v="2026-06-05T00:00:00"/>
    <n v="101872"/>
  </r>
  <r>
    <s v="B0F2Z2TRK9"/>
    <s v="Fire-Boltt Talk Round Smart Watch 1.39â€³ TFT Display with Bluetooth Calling, Dual Button, Voice Assistance, SPOâ‚‚ &amp;amp; Heart Rate Monitor, 120+ Sports Modes, Smartwatch for Men &amp;amp; Women - Green"/>
    <x v="3"/>
    <n v="1299"/>
    <n v="11999"/>
    <n v="0.89200000000000002"/>
    <n v="4"/>
    <n v="61557"/>
    <n v="1"/>
    <b v="0"/>
    <b v="0"/>
    <b v="0"/>
    <b v="0"/>
    <d v="2026-06-05T00:00:00"/>
    <n v="246228"/>
  </r>
  <r>
    <s v="B0DFYL4635"/>
    <s v="Boat Lunar Discovery w/ 1.39&amp;quot; (3.5 cm) HD Display, Turn-by-Turn Navigation, DIY Watch Face Studio, Bluetooth Calling, Emergency SOS, QR Tray, Smart Watch for Men &amp;amp; Women(Active Black)"/>
    <x v="3"/>
    <n v="1199"/>
    <n v="8499"/>
    <n v="0.85899999999999999"/>
    <n v="3.8"/>
    <n v="5716"/>
    <n v="1"/>
    <b v="0"/>
    <b v="0"/>
    <b v="0"/>
    <b v="0"/>
    <d v="2026-06-05T00:00:00"/>
    <n v="21720.799999999999"/>
  </r>
  <r>
    <s v="B0DS14JKB1"/>
    <s v="MARVIK Smart Watch for Kids, Men, Boys, Girls, and Women, D20 Plus 2025, Latest for Android and iOS Phones, IP68 Waterproof with Daily Activity Tracker, Heart Rate Sensor, Sleep Monitor Watch - Black"/>
    <x v="3"/>
    <n v="399"/>
    <n v="999"/>
    <n v="0.60099999999999998"/>
    <n v="3"/>
    <n v="1641"/>
    <n v="1"/>
    <b v="0"/>
    <b v="0"/>
    <b v="0"/>
    <b v="0"/>
    <d v="2026-06-05T00:00:00"/>
    <n v="4923"/>
  </r>
  <r>
    <s v="B0GX7VDRDQ"/>
    <s v="T800 Ultra Smart Watch, Orange Ocean Band, 1.99 Inch Display, Wireless Charging"/>
    <x v="3"/>
    <n v="449"/>
    <n v="999"/>
    <n v="0.55100000000000005"/>
    <n v="5"/>
    <n v="2"/>
    <n v="1"/>
    <b v="0"/>
    <b v="0"/>
    <b v="0"/>
    <b v="0"/>
    <d v="2026-06-05T00:00:00"/>
    <n v="10"/>
  </r>
  <r>
    <s v="B0FDQK5KSZ"/>
    <s v="Samsung Galaxy Watch8 (44mm, LTE, Graphite) with 3nm Processor | Dual GPS | Sapphire Glass &amp;amp; Armor Aluminum | 5ATM &amp;amp; IP68 | BP, ECG, IHRN &amp;amp; Vascular Load Monitoring | Anti-oxidant Index"/>
    <x v="3"/>
    <n v="25499"/>
    <n v="45999"/>
    <n v="0.44600000000000001"/>
    <n v="4.2"/>
    <n v="232"/>
    <n v="1"/>
    <b v="0"/>
    <b v="0"/>
    <b v="0"/>
    <b v="0"/>
    <d v="2026-06-05T00:00:00"/>
    <n v="974.40000000000009"/>
  </r>
  <r>
    <s v="B0CMF25TKG"/>
    <s v="Fireâ€‘Boltt Rise Smart Watch 1.85â€³ HD Display with Bluetooth Calling, AI Voice Assistant, Rotating Crown,SpO2 &amp;amp; Heart Rate Monitor, 120+ Sports Modes,IP67 Waterproof Smart Watch for Men &amp;amp; Women - Black"/>
    <x v="3"/>
    <n v="1199"/>
    <n v="11999"/>
    <n v="0.9"/>
    <n v="4"/>
    <n v="41250"/>
    <n v="1"/>
    <b v="0"/>
    <b v="0"/>
    <b v="0"/>
    <b v="0"/>
    <d v="2026-06-05T00:00:00"/>
    <n v="165000"/>
  </r>
  <r>
    <s v="B0CVQDZWVX"/>
    <s v="OnePlus Watch 2 with Wear OS 4,Snapdragon W5 Chipset,Upto 100hrs battery life,1.43â€™â€™ AMOLED Display, Stainless Steel &amp;amp; Sapphire Crystal build,Dual Frequency GPS, 5 ATM, IP68 &amp;amp; BT Calling (Black Steel)"/>
    <x v="3"/>
    <n v="14199"/>
    <n v="27999"/>
    <n v="0.49299999999999999"/>
    <n v="4.4000000000000004"/>
    <n v="776"/>
    <n v="1"/>
    <b v="0"/>
    <b v="0"/>
    <b v="0"/>
    <b v="0"/>
    <d v="2026-06-05T00:00:00"/>
    <n v="3414.4"/>
  </r>
  <r>
    <s v="B0FSLT35WH"/>
    <s v="Redmi Move Smartwatch | 1.85&amp;quot; AMOLED (390Ã—450, 600 nits) | Bluetooth Calling | 140+ Sports | 24Ã—7 HR &amp;amp; SPOâ‚‚ | AOD | Up to 14-Day Battery | HyperOS (Blue Blaze Strap)"/>
    <x v="3"/>
    <n v="2499"/>
    <n v="3999"/>
    <n v="0.375"/>
    <n v="4.0999999999999996"/>
    <n v="157"/>
    <n v="1"/>
    <b v="0"/>
    <b v="0"/>
    <b v="0"/>
    <b v="0"/>
    <d v="2026-06-05T00:00:00"/>
    <n v="643.69999999999993"/>
  </r>
  <r>
    <s v="B0DH2SRQ3L"/>
    <s v="Redmi Watch 5 Lite, 1.96&amp;quot; Amoled, Advanced in-Built GPS, 5 ATM, 18 Day Battery, Bluetooth Calling with AI Noise Reduction, Always on Display, Light Gold"/>
    <x v="3"/>
    <n v="3999"/>
    <n v="6999"/>
    <n v="0.42899999999999999"/>
    <n v="4.0999999999999996"/>
    <n v="1712"/>
    <n v="1"/>
    <b v="0"/>
    <b v="0"/>
    <b v="0"/>
    <b v="0"/>
    <d v="2026-06-05T00:00:00"/>
    <n v="7019.2"/>
  </r>
  <r>
    <s v="B0DGGVHMDS"/>
    <s v="Fastrack Astor FR2 Pro 1.43&amp;quot; AMOLED Stainless Steel Smart Watch with SpO2, Heart Rate, BT Calling, Adaptive AOD, Functional Crown, AI Voice Assistant â€“ Smartwatch for Stylish Professionals (Black)"/>
    <x v="3"/>
    <n v="2799"/>
    <n v="5499"/>
    <n v="0.49099999999999999"/>
    <n v="4.3"/>
    <n v="1386"/>
    <n v="1"/>
    <b v="0"/>
    <b v="0"/>
    <b v="0"/>
    <b v="0"/>
    <d v="2026-06-05T00:00:00"/>
    <n v="5959.8"/>
  </r>
  <r>
    <s v="B0D95TMQ3M"/>
    <s v="Bouncefit M I D116 Fitness Band Smart Watch for Men, Women, Boys, Girls, Kids â€“ Single Touch Interface, Water Resistant, Workout Modes,Quick Charge Sports Smartwatch â€“ Black I"/>
    <x v="3"/>
    <n v="396"/>
    <n v="2999"/>
    <n v="0.86799999999999999"/>
    <n v="3.5"/>
    <n v="1059"/>
    <n v="1"/>
    <b v="0"/>
    <b v="0"/>
    <b v="0"/>
    <b v="0"/>
    <d v="2026-06-05T00:00:00"/>
    <n v="3706.5"/>
  </r>
  <r>
    <s v="B0G64PBQYB"/>
    <s v="CrossBeats Armour Pro AI Premium Smart Watch for man | Latest 1.43â€ AMOLED Always on Display | 5 ATM Waterproof | 30-Day Battery |GPS BT Calling Smartwatch |150+ Sports Modes| BP HR SPO2 (Black)"/>
    <x v="3"/>
    <n v="5999"/>
    <n v="9999"/>
    <n v="0.4"/>
    <n v="4.4000000000000004"/>
    <n v="382"/>
    <n v="1"/>
    <b v="0"/>
    <b v="0"/>
    <b v="0"/>
    <b v="0"/>
    <d v="2026-06-05T00:00:00"/>
    <n v="1680.8000000000002"/>
  </r>
  <r>
    <s v="B0G1T2GZP9"/>
    <s v="Boat Lunar Discovery Neo, 1.39&amp;quot; (3.5 cm) Round HD Display, Premium Metallic Finish, Animated Watchfaces, 100+ Sports Mode, Bluetooth Calling, Smart Watch for Men &amp;amp; Women (Active Black)"/>
    <x v="3"/>
    <n v="1399"/>
    <n v="6999"/>
    <n v="0.8"/>
    <n v="4"/>
    <n v="21378"/>
    <n v="1"/>
    <b v="0"/>
    <b v="0"/>
    <b v="0"/>
    <b v="0"/>
    <d v="2026-06-05T00:00:00"/>
    <n v="85512"/>
  </r>
  <r>
    <s v="B0CQRQK8L8"/>
    <s v="Noise ColorFit Pulse 3 with 1.96&amp;quot; Biggest Display Bluetooth Calling Smart Watch, Premium Build, Auto Sport Detection &amp;amp; 170+ Watch Faces Smartwatch for Men &amp;amp; Women - Midnight Black"/>
    <x v="3"/>
    <n v="1199"/>
    <n v="6999"/>
    <n v="0.82899999999999996"/>
    <n v="4"/>
    <n v="5456"/>
    <n v="1"/>
    <b v="0"/>
    <b v="0"/>
    <b v="0"/>
    <b v="0"/>
    <d v="2026-06-05T00:00:00"/>
    <n v="21824"/>
  </r>
  <r>
    <s v="B0GRVG7C8D"/>
    <s v="T800 Ultra Smart Watch with Touch Display â€“ Bluetooth Calling Smartwatch | Health &amp;amp; Fitness Tracker with Sports Modes | Compatible with Android &amp;amp; iOS | Black Strap"/>
    <x v="3"/>
    <m/>
    <m/>
    <m/>
    <n v="3.8"/>
    <n v="7"/>
    <n v="1"/>
    <b v="0"/>
    <b v="0"/>
    <b v="0"/>
    <b v="0"/>
    <d v="2026-06-05T00:00:00"/>
    <n v="26.599999999999998"/>
  </r>
  <r>
    <s v="B0F993RN8H"/>
    <s v="Fire-Boltt Legacy Luxury Round Smart Watch 1.43â€³ Super AMOLED,Bluetooth Calling,Wireless Charging,Voice Assistant,SpOâ‚‚ &amp;amp; Heart Rate Monitor,110+ Sports Modes, Metal Smart Watch for Men &amp;amp; Women - Black"/>
    <x v="3"/>
    <n v="2099"/>
    <n v="21000"/>
    <n v="0.9"/>
    <n v="3.9"/>
    <n v="2395"/>
    <n v="1"/>
    <b v="0"/>
    <b v="0"/>
    <b v="0"/>
    <b v="0"/>
    <d v="2026-06-05T00:00:00"/>
    <n v="9340.5"/>
  </r>
  <r>
    <s v="B0D1VKS2L9"/>
    <s v="Fastrack New Limitless X2 Smart Watch, 1.91&amp;quot; UltraVU with Rotating Crown, 60 Hz Refresh Rate, Advanced Chipset, SingleSync BT Calling, 100+ Sports Mode &amp;amp; Smartwatch Faces, IP68, (Black)"/>
    <x v="3"/>
    <n v="1599"/>
    <n v="2995"/>
    <n v="0.46600000000000003"/>
    <n v="4"/>
    <n v="2493"/>
    <n v="1"/>
    <b v="0"/>
    <b v="0"/>
    <b v="0"/>
    <b v="0"/>
    <d v="2026-06-05T00:00:00"/>
    <n v="9972"/>
  </r>
  <r>
    <s v="B0D5LRGSCR"/>
    <s v="Boat Storm Call 3 w/TBT Navigation, Daily Activity Tracker, DIY Watch Face Studio,700+ Active Modes, 1.83&amp;quot; (4.6 cm) HD Display Fitness Smart Watch for Men &amp;amp; Women(Active Black)"/>
    <x v="3"/>
    <n v="1099"/>
    <n v="8449"/>
    <n v="0.87"/>
    <n v="4.0999999999999996"/>
    <n v="34928"/>
    <n v="1"/>
    <b v="0"/>
    <b v="0"/>
    <b v="0"/>
    <b v="0"/>
    <d v="2026-06-05T00:00:00"/>
    <n v="143204.79999999999"/>
  </r>
  <r>
    <s v="B0FP2H4K27"/>
    <s v="Fire-Boltt Axiom Round Smart Watch 1.43â€³ Super AMOLED Display with Alwaysâ€‘On Mode, Bluetooth Calling, Rotating Crown, SPOâ‚‚ &amp;amp; Heart Rate Monitor, IP67 Waterproof Silicone Smartwatch for Men - White"/>
    <x v="3"/>
    <n v="1899"/>
    <n v="18999"/>
    <n v="0.9"/>
    <n v="3.8"/>
    <n v="6885"/>
    <n v="1"/>
    <b v="0"/>
    <b v="0"/>
    <b v="0"/>
    <b v="0"/>
    <d v="2026-06-05T00:00:00"/>
    <n v="26163"/>
  </r>
  <r>
    <s v="B0BRKXXPZ7"/>
    <s v="Fire-Boltt Phoenix Pro Round Smart Watch 1.39â€³ HD Display with Bluetooth Calling, AI Voice Assistant, SpO2 &amp;amp; Heart Rate Monitor, 120+ Sports Modes, IP67 Waterproof Smartwatch for Men &amp;amp; Women - Black"/>
    <x v="3"/>
    <n v="1499"/>
    <n v="11999"/>
    <n v="0.875"/>
    <n v="3.9"/>
    <n v="105437"/>
    <n v="1"/>
    <b v="0"/>
    <b v="0"/>
    <b v="0"/>
    <b v="0"/>
    <d v="2026-06-05T00:00:00"/>
    <n v="411204.3"/>
  </r>
  <r>
    <s v="B0DSWCCSXD"/>
    <s v="GameSir H18 Pro Smartwatch with Long Battery Life, 2.01&amp;quot; High-Resolution Screen, Bluetooth Calling, IP68 Waterproof, TFT Display, Luxury Design for Men &amp;amp; Women (Grey)"/>
    <x v="3"/>
    <n v="939"/>
    <n v="4999"/>
    <n v="0.81200000000000006"/>
    <n v="4"/>
    <n v="146"/>
    <n v="1"/>
    <b v="0"/>
    <b v="0"/>
    <b v="0"/>
    <b v="0"/>
    <d v="2026-06-05T00:00:00"/>
    <n v="584"/>
  </r>
  <r>
    <s v="B0DNW6WRDZ"/>
    <s v="MARVIK Smart Watch for Kids, Men, Boys, Girls, and Women, ID116 Plus 2025, Latest for Android and iOS Phones, IP68 Waterproof with Daily Activity Tracker, Heart Rate Sensor, Sleep Monitor - Black"/>
    <x v="3"/>
    <n v="399"/>
    <n v="999"/>
    <n v="0.60099999999999998"/>
    <n v="3.2"/>
    <n v="335"/>
    <n v="1"/>
    <b v="0"/>
    <b v="0"/>
    <b v="0"/>
    <b v="0"/>
    <d v="2026-06-05T00:00:00"/>
    <n v="1072"/>
  </r>
  <r>
    <s v="B0DDL8SLXN"/>
    <s v="Huawei Watch GT 5 46mm Smartwatch, Up to 14 Days Battery Life, iOS &amp;amp; Android Compatible,Built in Maps, Pro-Level Sports Call&amp;amp;Message Reply,(Black, 46mm)"/>
    <x v="3"/>
    <n v="14999"/>
    <n v="24999"/>
    <n v="0.4"/>
    <n v="4.5"/>
    <n v="1171"/>
    <n v="1"/>
    <b v="0"/>
    <b v="0"/>
    <b v="0"/>
    <b v="0"/>
    <d v="2026-06-05T00:00:00"/>
    <n v="5269.5"/>
  </r>
  <r>
    <s v="B0DDQCDQQG"/>
    <s v="Fastrack Jupitor R2 Smart Watch, 1.38â€ TFT Display, 240 * 240 Pixel Resolution, SingleSync BT Calling, AI Voice Assistant, 100+ Sports Modes &amp;amp; Smartwatch Faces,Upto 5 Day Battery, IP68 (Black)"/>
    <x v="3"/>
    <n v="1699"/>
    <n v="3999"/>
    <n v="0.57499999999999996"/>
    <n v="4.0999999999999996"/>
    <n v="210"/>
    <n v="1"/>
    <b v="0"/>
    <b v="0"/>
    <b v="0"/>
    <b v="0"/>
    <d v="2026-06-05T00:00:00"/>
    <n v="860.99999999999989"/>
  </r>
  <r>
    <s v="B0DKBZYXZY"/>
    <s v="Fire-Boltt Ninja Call Pro Max Ultra Bluetooth Calling Smart Watch, 2.01â€HD Display, AI Outfit Watch Face, 2 Looks in 1 Watch, Extra Straps at â‚¹99, 120+ Sports Modes, Smartwatch for Men &amp;amp; Women (Black)"/>
    <x v="3"/>
    <n v="1099"/>
    <n v="16999"/>
    <n v="0.93500000000000005"/>
    <n v="3.4"/>
    <n v="924"/>
    <n v="1"/>
    <b v="0"/>
    <b v="0"/>
    <b v="0"/>
    <b v="0"/>
    <d v="2026-06-05T00:00:00"/>
    <n v="3141.6"/>
  </r>
  <r>
    <s v="B0BY5BRLRB"/>
    <s v="Garmin Forerunner 965 GPS Triathlon Smartwatch,Amoled Touchscreen, Battery Upto 23 Days, HRV Status, Advanced Sleep Score, Track Running, Cross Training, Vo2 Max, ClimbPro, Load Ratio with Black Band"/>
    <x v="3"/>
    <n v="39990"/>
    <n v="70990"/>
    <n v="0.437"/>
    <n v="4.0999999999999996"/>
    <n v="69"/>
    <n v="1"/>
    <b v="0"/>
    <b v="0"/>
    <b v="0"/>
    <b v="0"/>
    <d v="2026-06-05T00:00:00"/>
    <n v="282.89999999999998"/>
  </r>
  <r>
    <s v="B0GLQKTKF6"/>
    <s v="GOBOULT Newly Launched Mustang Stallion Smart Watch 1.43&amp;#x27;&amp;#x27; AMOLED Display, Rotating Bezel, BT Calling, 200+Watchfaces, 700 Nits Brightness, AI Voice Assistant, SpO2 Monitoring (Turbo Orange)"/>
    <x v="3"/>
    <n v="4499"/>
    <n v="14999"/>
    <n v="0.7"/>
    <n v="4.5999999999999996"/>
    <n v="71"/>
    <n v="1"/>
    <b v="0"/>
    <b v="0"/>
    <b v="0"/>
    <b v="0"/>
    <d v="2026-06-05T00:00:00"/>
    <n v="326.59999999999997"/>
  </r>
  <r>
    <s v="B0GPDV4GGT"/>
    <s v="Boat Ultima Aeris 1.43&amp;quot; AMOLED Display, 1000 nits Brightness, Ultra Slim 8mm Metal Build, IP68, Auto HR &amp;amp; SpO2 Monitoring, Sleep &amp;amp; Stress Tracking, Stylish Smartwatch for Men &amp;amp; Women(Tan Brown)"/>
    <x v="3"/>
    <n v="2999"/>
    <n v="6499"/>
    <n v="0.53900000000000003"/>
    <n v="1"/>
    <n v="1"/>
    <n v="1"/>
    <b v="0"/>
    <b v="0"/>
    <b v="0"/>
    <b v="0"/>
    <d v="2026-06-05T00:00:00"/>
    <n v="1"/>
  </r>
  <r>
    <s v="B0GH7QLM56"/>
    <s v="Fire-Boltt Phoenix Air Smart Watch 1.26â€ Round Display, Rotating Button, Wireless Charging, Ultra Lightweight Metal Body, Bluetooth Calling, Smartwatch with Silicone &amp;amp; Mesh Steel Straps Cloud White"/>
    <x v="3"/>
    <n v="1299"/>
    <n v="14999"/>
    <n v="0.91300000000000003"/>
    <n v="4"/>
    <n v="1890"/>
    <n v="1"/>
    <b v="0"/>
    <b v="0"/>
    <b v="0"/>
    <b v="0"/>
    <d v="2026-06-05T00:00:00"/>
    <n v="7560"/>
  </r>
  <r>
    <s v="B0CLRCTC58"/>
    <s v="Titan Crest 1.43â€ AMOLED Smart Watch with BT Calling, AI Morning Briefs, Functional Crown, Health Tracking, Aluminium Body, 100+ Sports Modes, Smartwatch for Men and Women - Black Silicone Strap"/>
    <x v="3"/>
    <n v="4499"/>
    <n v="11995"/>
    <n v="0.625"/>
    <n v="4"/>
    <n v="815"/>
    <n v="1"/>
    <b v="0"/>
    <b v="0"/>
    <b v="0"/>
    <b v="0"/>
    <d v="2026-06-05T00:00:00"/>
    <n v="3260"/>
  </r>
  <r>
    <s v="B0F5HRC4QC"/>
    <s v="Fastrack Limitless FS2 Pro 1.96&amp;quot; AMOLED Smart Watch with BT Calling, AI Voice Assistant, 100+ Sports Modes, 5-Day Battery, Fast Charge, Health Tracking, â€“ Smartwatch for Men &amp;amp; Women (Beige)"/>
    <x v="3"/>
    <n v="2299"/>
    <n v="7995"/>
    <n v="0.71199999999999997"/>
    <n v="4"/>
    <n v="1844"/>
    <n v="1"/>
    <b v="0"/>
    <b v="0"/>
    <b v="0"/>
    <b v="0"/>
    <d v="2026-06-05T00:00:00"/>
    <n v="7376"/>
  </r>
  <r>
    <s v="B09HVCFLG4"/>
    <s v="Amazfit GTR 3 Pro (Smartchoice) 46mm Smart Watch with BT Phone Calls, BP Monitoring, 1.45â€AMOLED Display, 24/7 HR Tracking, Alexa, GPS, WiFi, 12-Day Battery Life,150 Sports Modes(Infinite Black)"/>
    <x v="3"/>
    <n v="9999"/>
    <n v="25999"/>
    <n v="0.61499999999999999"/>
    <n v="3.9"/>
    <n v="1613"/>
    <n v="1"/>
    <b v="0"/>
    <b v="0"/>
    <b v="0"/>
    <b v="1"/>
    <d v="2026-06-05T00:00:00"/>
    <n v="6290.7"/>
  </r>
  <r>
    <s v="B0DZ2PDXLS"/>
    <s v="Boat Storm Infinity w/15 Days Extensive Battery Life, Only Charge Twice a Month, Huge 550mAh Battery, Fast Charge, 1.83â€(4.65cm) Display, Fitness Tracker, Smart Watch for Men &amp;amp; Women (Active Black)"/>
    <x v="3"/>
    <n v="1199"/>
    <n v="5999"/>
    <n v="0.8"/>
    <n v="3.8"/>
    <n v="896"/>
    <n v="1"/>
    <b v="0"/>
    <b v="0"/>
    <b v="0"/>
    <b v="0"/>
    <d v="2026-06-05T00:00:00"/>
    <n v="3404.7999999999997"/>
  </r>
  <r>
    <s v="B0CBXBY5CK"/>
    <s v="Punnk FunnkÂ® Q18 Present Smart Kids LBS Location Tracking Watch with Voice Calling, SOS, Remote Monitoring, Camera, Geo-Fencing Function (Ocean Green)"/>
    <x v="3"/>
    <n v="1349"/>
    <n v="4999"/>
    <n v="0.73"/>
    <n v="3.1"/>
    <n v="1445"/>
    <n v="1"/>
    <b v="0"/>
    <b v="0"/>
    <b v="0"/>
    <b v="0"/>
    <d v="2026-06-05T00:00:00"/>
    <n v="4479.5"/>
  </r>
  <r>
    <s v="B0DCZWZ39H"/>
    <s v="Redmi Watch 5 Active, 2&amp;quot; Display, Metal Body, 18 Day Battery, Bluetooth Calling, Advanced AI Noise Cancellation, Alexa, Matte Silver (M2351W1)"/>
    <x v="3"/>
    <n v="2690"/>
    <n v="4999"/>
    <n v="0.46200000000000002"/>
    <n v="4.0999999999999996"/>
    <n v="1158"/>
    <n v="1"/>
    <b v="0"/>
    <b v="0"/>
    <b v="0"/>
    <b v="0"/>
    <d v="2026-06-05T00:00:00"/>
    <n v="4747.7999999999993"/>
  </r>
  <r>
    <s v="B0FC6CGZTP"/>
    <s v="Noise Junior Explorer 2 Smart Watch for Kids with 4G SIM Compatible, 2-Way Video &amp;amp; Voice Calling, Geofencing, Real Time Location Monitoring via Google Maps, IP68, SOS Emergency Alerts (Power Pixel)"/>
    <x v="3"/>
    <n v="6499"/>
    <n v="7999"/>
    <n v="0.188"/>
    <n v="4.0999999999999996"/>
    <n v="491"/>
    <n v="1"/>
    <b v="0"/>
    <b v="0"/>
    <b v="0"/>
    <b v="0"/>
    <d v="2026-06-05T00:00:00"/>
    <n v="2013.1"/>
  </r>
  <r>
    <s v="B0DFYMY37Y"/>
    <s v="Titan Evolution Smartwatch Comes with 1.85â€ AMOLED Display with 390 * 450 Pixel Resolution|SingleSync BT Calling|AI Voice Assistant|100+ Sports Modes and Watchfaces|Upto 7 Day Battery|IP68"/>
    <x v="3"/>
    <n v="4999"/>
    <n v="6999"/>
    <n v="0.28599999999999998"/>
    <n v="4.2"/>
    <n v="87"/>
    <n v="1"/>
    <b v="0"/>
    <b v="0"/>
    <b v="0"/>
    <b v="0"/>
    <d v="2026-06-05T00:00:00"/>
    <n v="365.40000000000003"/>
  </r>
  <r>
    <s v="B0F4RH8CHC"/>
    <s v="Noise Icon 5 Smartwatch with AI Watch Faces &amp;amp; AI Search, 1.95â€ AMOLED Display, 10 Days Battery, Bluetooth Calling, 100+ Sports Modes, IP68 (Starlight Gold)"/>
    <x v="3"/>
    <n v="1699"/>
    <n v="6999"/>
    <n v="0.75700000000000001"/>
    <n v="4"/>
    <n v="13"/>
    <n v="1"/>
    <b v="0"/>
    <b v="0"/>
    <b v="0"/>
    <b v="0"/>
    <d v="2026-06-05T00:00:00"/>
    <n v="52"/>
  </r>
  <r>
    <s v="B0FHWWDRRM"/>
    <s v="OnePlus Pad Lite with Biggest Battery in Segment 9340 mAh, 11&amp;quot;(27.94 cm) Display with 500 nits Brightness &amp;amp; 11 Hrs of Video Playback, 6GB RAM 128GB Storage, WiFi, Aero Blue"/>
    <x v="4"/>
    <n v="18499"/>
    <n v="19999"/>
    <n v="7.4999999999999997E-2"/>
    <n v="4.4000000000000004"/>
    <n v="749"/>
    <n v="3"/>
    <b v="0"/>
    <b v="0"/>
    <b v="1"/>
    <b v="0"/>
    <d v="2026-06-05T00:00:00"/>
    <n v="3295.6000000000004"/>
  </r>
  <r>
    <s v="B0FBRVRF4F"/>
    <s v="Redmi Pad 2 Wi-Fi + Cellular, Active Pen Support, 27.94cm(11&amp;quot;) Model, 2.5K Sharp &amp;amp; Clear Display, 6GB, 128GB, All Day &amp;amp; More 9000mAh Battery, AI-Enabled, Dolby Atmos, HyperOS 2, Sky Blue"/>
    <x v="4"/>
    <n v="19999"/>
    <m/>
    <m/>
    <n v="4.3"/>
    <n v="669"/>
    <n v="2"/>
    <b v="0"/>
    <b v="0"/>
    <b v="0"/>
    <b v="0"/>
    <d v="2026-06-05T00:00:00"/>
    <n v="2876.7"/>
  </r>
  <r>
    <s v="B0GWMMPJ42"/>
    <s v="DOMO Slate SL39 10.1-Inch 4G Tablet PC, inbuilt Storage, 4GB RAM + 32GB,1TB Expandable, Dual SIM Slot, Octa Core CPU, Bluetooth, GPS (Green)"/>
    <x v="4"/>
    <n v="7550"/>
    <n v="24990"/>
    <n v="0.69799999999999995"/>
    <n v="3.6"/>
    <n v="5"/>
    <n v="1"/>
    <b v="0"/>
    <b v="0"/>
    <b v="0"/>
    <b v="0"/>
    <d v="2026-06-05T00:00:00"/>
    <n v="18"/>
  </r>
  <r>
    <s v="B0G24QRHLG"/>
    <s v="Lenovo Tab (Smartchoice)| 10.1 Inch Display| Wi-Fi Only| 4GB RAM + 128GB ROM (Expandable up to 1 TB)| Metal Body| Dual Speakers with Dolby Atmos| Android 14| Color: Polar Blue"/>
    <x v="4"/>
    <n v="14999"/>
    <n v="19000"/>
    <n v="0.21099999999999999"/>
    <n v="4.3"/>
    <n v="521"/>
    <n v="1"/>
    <b v="0"/>
    <b v="0"/>
    <b v="0"/>
    <b v="0"/>
    <d v="2026-06-05T00:00:00"/>
    <n v="2240.2999999999997"/>
  </r>
  <r>
    <s v="B0GQSH6FBT"/>
    <s v="Redmi Pad 2 Wi-Fi, Active Pen Support, 27.94cm(11&amp;quot;) Model, 2.5K Sharp &amp;amp; Clear Display, 8GB, 128GB, All Day &amp;amp; More 9000mAh Battery, AI-Enabled, Dolby Atmos, HyperOS 2, Graphite Grey"/>
    <x v="4"/>
    <n v="19843"/>
    <n v="24999"/>
    <n v="0.20599999999999999"/>
    <n v="3.8"/>
    <n v="31"/>
    <n v="2"/>
    <b v="0"/>
    <b v="0"/>
    <b v="0"/>
    <b v="0"/>
    <d v="2026-06-05T00:00:00"/>
    <n v="117.8"/>
  </r>
  <r>
    <s v="B0CDLBNZQH"/>
    <s v="IWEGGO 15 Android Tablet, 10 18GB RAM + 128GB ROM/2TB Expandable Tablet, 2.0GHz Quad-Core Processor, 1280x800 HD Touchscreen, 5G WiFi6 BT5.0, 2-in-1 Tablets with (Navy Blue)"/>
    <x v="4"/>
    <n v="11457"/>
    <m/>
    <m/>
    <n v="3.8"/>
    <n v="204"/>
    <n v="11"/>
    <b v="0"/>
    <b v="0"/>
    <b v="0"/>
    <b v="0"/>
    <d v="2026-06-05T00:00:00"/>
    <n v="775.19999999999993"/>
  </r>
  <r>
    <s v="B092DXT698"/>
    <s v="Lenovo Tab M8 FHD (8 inch(20cm), 4 GB, 64 GB, Wi-Fi+LTE, Calling), Grey with Camera Flash"/>
    <x v="4"/>
    <n v="11999"/>
    <n v="21999"/>
    <n v="0.45500000000000002"/>
    <n v="4"/>
    <n v="2028"/>
    <n v="1"/>
    <b v="0"/>
    <b v="0"/>
    <b v="0"/>
    <b v="0"/>
    <d v="2026-06-05T00:00:00"/>
    <n v="8112"/>
  </r>
  <r>
    <s v="B0CGWTH8YH"/>
    <s v="CUPEISI Android 13 Tablet 10 inch 12GB RAM+128GB ROM/1TB Expandable Tablet, Bluetooth, Wi-Fi, 2024 Newest 2 in 1 Tablets with Keyboard Case, Mouse Capacitive Pen, 2.0 Quad Core CPU"/>
    <x v="4"/>
    <n v="10683.5"/>
    <n v="41646.15"/>
    <n v="0.74299999999999999"/>
    <n v="4.3"/>
    <n v="970"/>
    <n v="10"/>
    <b v="0"/>
    <b v="0"/>
    <b v="0"/>
    <b v="0"/>
    <d v="2026-06-05T00:00:00"/>
    <n v="4171"/>
  </r>
  <r>
    <s v="B0G4QQ4FYB"/>
    <s v="OnePlus Pad Go 2, 30.73 cm (12.1 inch) 2.8K Display, Dolby Visionâ„¢, 120Hz Refresh Rate, Quad Speakers, AI, 10050 mAh Battery, 5G Tablet, 8GB RAM 256 GB Storage, Shadow Black"/>
    <x v="4"/>
    <n v="34999"/>
    <n v="35999"/>
    <n v="2.8000000000000001E-2"/>
    <n v="4.0999999999999996"/>
    <n v="654"/>
    <n v="1"/>
    <b v="0"/>
    <b v="0"/>
    <b v="0"/>
    <b v="0"/>
    <d v="2026-06-05T00:00:00"/>
    <n v="2681.3999999999996"/>
  </r>
  <r>
    <s v="B0FNWSP5L3"/>
    <s v="Samsung Galaxy Tab S10 Lite with AI [Smartchoice], S Pen in-Box, 27.7 cm (10.9 Inch) Display, Object Eraser, 90Hz Refresh Rate, IP42 Rating, 6GB RAM, 128GB Storage, Wi-Fi + 5G Tablet, Silver"/>
    <x v="4"/>
    <n v="36999"/>
    <n v="41999"/>
    <n v="0.11899999999999999"/>
    <n v="4.5"/>
    <n v="175"/>
    <n v="1"/>
    <b v="0"/>
    <b v="0"/>
    <b v="0"/>
    <b v="0"/>
    <d v="2026-06-05T00:00:00"/>
    <n v="787.5"/>
  </r>
  <r>
    <s v="B0F4K27HBJ"/>
    <s v="IKALL N11 Pro Tablet - 7inch Display, 2GB RAM &amp;amp; 16GB ROM, 3000mAh Battery, Wi-Fi, Android 8.0, 2MP Rear Camera (Black)"/>
    <x v="4"/>
    <n v="3999"/>
    <n v="5999"/>
    <n v="0.33300000000000002"/>
    <n v="1.9"/>
    <n v="40"/>
    <n v="1"/>
    <b v="0"/>
    <b v="0"/>
    <b v="0"/>
    <b v="0"/>
    <d v="2026-06-05T00:00:00"/>
    <n v="76"/>
  </r>
  <r>
    <s v="B0DP5215CG"/>
    <s v="IKALL N11 Tablet â€“ 7 inch HD Display, Android 8.0, Quad-Core Processor, 2GB RAM, 16GB Storage &amp;amp; 3000mAh Battery - Black"/>
    <x v="4"/>
    <n v="3999"/>
    <n v="5999"/>
    <n v="0.33300000000000002"/>
    <n v="2.7"/>
    <n v="29"/>
    <n v="1"/>
    <b v="0"/>
    <b v="0"/>
    <b v="0"/>
    <b v="0"/>
    <d v="2026-06-05T00:00:00"/>
    <n v="78.300000000000011"/>
  </r>
  <r>
    <s v="B0GZH4QV3T"/>
    <s v="IKALL N11 Pro 7â€ Android Tablet â€“ 2GB RAM, 16GB Storage (Expandable), WiFi Enabled | 3000mAh Battery | Dual Camera | Compact &amp;amp; Lightweight Tablet for Entertainment &amp;amp; Learning (Black)"/>
    <x v="4"/>
    <n v="3949"/>
    <n v="5999"/>
    <n v="0.34200000000000003"/>
    <n v="1"/>
    <n v="1"/>
    <n v="1"/>
    <b v="0"/>
    <b v="0"/>
    <b v="0"/>
    <b v="0"/>
    <d v="2026-06-05T00:00:00"/>
    <n v="1"/>
  </r>
  <r>
    <s v="B0G1C13SB3"/>
    <s v="Samsung Galaxy Tab A11+ [Smartchoice], 27.82 cm (11 inch) Display, 6 GB RAM, 128 GB Storage, 90Hz Refresh Rate, AI with Google Gemini, Dolby Atmos, Quad Speakers, Wi-Fi Tablet, Gray"/>
    <x v="4"/>
    <n v="25999"/>
    <n v="27999"/>
    <n v="7.0999999999999994E-2"/>
    <n v="4.5"/>
    <n v="199"/>
    <n v="1"/>
    <b v="0"/>
    <b v="0"/>
    <b v="0"/>
    <b v="0"/>
    <d v="2026-06-05T00:00:00"/>
    <n v="895.5"/>
  </r>
  <r>
    <s v="B0GQV514CT"/>
    <s v="Apple iPad Air 27.59 cm (11â€³) (M4): Liquid Retina Display, 128 GB, 12MP Front/Back Camera, Wi-Fi 7 with Apple N1, Touch ID, All-Day Battery Life â€” Purple"/>
    <x v="4"/>
    <n v="61699"/>
    <n v="64900"/>
    <n v="4.9000000000000002E-2"/>
    <n v="4.7"/>
    <n v="39"/>
    <n v="1"/>
    <b v="0"/>
    <b v="0"/>
    <b v="0"/>
    <b v="0"/>
    <d v="2026-06-05T00:00:00"/>
    <n v="183.3"/>
  </r>
  <r>
    <s v="B0G2RVGCGC"/>
    <s v="Lenovo Idea Tab Plus with Pen |Wifi +5G |12.1&amp;quot; 2.5K Display, 800nits Peak Brightness |8GB RAM + 256GB ROM (Expandable upto 2TB)| MediaTek Dimensity 6400| 10200mAh|4 Speakers with Dolby Atmos|Luna Grey"/>
    <x v="4"/>
    <n v="31999"/>
    <n v="41000"/>
    <n v="0.22"/>
    <n v="4.3"/>
    <n v="70"/>
    <n v="1"/>
    <b v="0"/>
    <b v="0"/>
    <b v="0"/>
    <b v="0"/>
    <d v="2026-06-05T00:00:00"/>
    <n v="301"/>
  </r>
  <r>
    <s v="B0CG89T15H"/>
    <s v="ECOPAD Android 13 Tablet 2023 - 10 Inch With 6GB RAM, 64GB ROM, 1TB Expanded, Quad-Core, 2 in 1 With Keyboard Mouse, Wi-Fi 6, Bluetooth, GMS Certified IPS Touch Screen - Black Set"/>
    <x v="4"/>
    <n v="9635"/>
    <m/>
    <m/>
    <n v="4"/>
    <n v="2500"/>
    <n v="1"/>
    <b v="0"/>
    <b v="0"/>
    <b v="0"/>
    <b v="0"/>
    <d v="2026-06-05T00:00:00"/>
    <n v="10000"/>
  </r>
  <r>
    <s v="B0D6G4CVZ7"/>
    <s v="Lenovo Tab Plus with Octa JBL Hi-Fi Speakers| 8 GB RAM, 128 GB ROM| 11.5 Inch, 2K, 90 Hz Refresh| Wi-Fi Tablet| Android 14| 45 W Fast Charger| Built-in Kickstand| Color: Luna Grey"/>
    <x v="4"/>
    <n v="21999"/>
    <n v="32000"/>
    <n v="0.313"/>
    <n v="4.5"/>
    <n v="2070"/>
    <n v="1"/>
    <b v="0"/>
    <b v="0"/>
    <b v="0"/>
    <b v="0"/>
    <d v="2026-06-05T00:00:00"/>
    <n v="9315"/>
  </r>
  <r>
    <s v="B0F4QYKYND"/>
    <s v="HOTTABLET Tablet 7 Inch Android 14.0 with Protective Case, 8GB (4+4GB Expand) RAM+32GB ROM, IPS Screen, Dual Camera, Bluetooth 5.0 WiFi Tab (Gray)"/>
    <x v="4"/>
    <n v="6162.97"/>
    <m/>
    <m/>
    <n v="3.7"/>
    <n v="805"/>
    <n v="14"/>
    <b v="0"/>
    <b v="0"/>
    <b v="0"/>
    <b v="0"/>
    <d v="2026-06-05T00:00:00"/>
    <n v="2978.5"/>
  </r>
  <r>
    <s v="B0FJG2TL3C"/>
    <s v="Lenovo Idea Tab Smartchoice with Pen|5G + Wi-Fi|11 Inch,2.5K Display, 500 Nits Brightness|8GB RAM + 256GB ROM(Expandable Up to 2 TB)|Mediatek Dimensity 6300|Android 15|4-Speakers with Dolby Atmos,Grey"/>
    <x v="4"/>
    <n v="26999"/>
    <n v="29000"/>
    <n v="6.9000000000000006E-2"/>
    <n v="4.3"/>
    <n v="639"/>
    <n v="1"/>
    <b v="0"/>
    <b v="0"/>
    <b v="0"/>
    <b v="0"/>
    <d v="2026-06-05T00:00:00"/>
    <n v="2747.7"/>
  </r>
  <r>
    <s v="B0GDQ26XZB"/>
    <s v="Redmi Pad 2 Pro [Smartchoice] | 12000mAh | Snapdragon 7s Gen 4 | 12.1-inch,2.5K Display |83+ Days Standby |HyperOS 2 |120Hz |Dolby Vision Atmos |Wi-Fi 6 |AI Powered | 8GB, 128GB | Quick Silver"/>
    <x v="4"/>
    <n v="26999"/>
    <n v="29999"/>
    <n v="0.1"/>
    <n v="4.2"/>
    <n v="130"/>
    <n v="1"/>
    <b v="0"/>
    <b v="0"/>
    <b v="0"/>
    <b v="0"/>
    <d v="2026-06-05T00:00:00"/>
    <n v="546"/>
  </r>
  <r>
    <s v="B0CTH1JX6P"/>
    <s v="IWEGGO Android 15 Tablet, 10 inch 12GB RAM+64GB ROM+1TB Expandable, 1.8Ghz Quad-core Processor, 2 in 1 Tablets with Keyboard Case Mouse Stylus, 5G Wifi, 8MP Dual Camera, 1280*800 HD Screen Tablet Blue"/>
    <x v="4"/>
    <n v="9860.76"/>
    <n v="24823"/>
    <n v="0.60299999999999998"/>
    <n v="3.9"/>
    <n v="1288"/>
    <n v="7"/>
    <b v="0"/>
    <b v="0"/>
    <b v="0"/>
    <b v="0"/>
    <d v="2026-06-05T00:00:00"/>
    <n v="5023.2"/>
  </r>
  <r>
    <s v="B0GGZNTXC4"/>
    <s v="Motorola Pad 60 Neo (Blue, 8 GB RAM, 128 GB ROM)"/>
    <x v="4"/>
    <n v="20000"/>
    <n v="25999"/>
    <n v="0.23100000000000001"/>
    <n v="3.6"/>
    <n v="25"/>
    <n v="10"/>
    <b v="0"/>
    <b v="0"/>
    <b v="0"/>
    <b v="0"/>
    <d v="2026-06-05T00:00:00"/>
    <n v="90"/>
  </r>
  <r>
    <s v="B0GWM9X76Q"/>
    <s v="DOMO Slate SL39 10.1-Inch 4G Tablet PC, inbuilt Storage, 4GB RAM + 32GB,1TB Expandable, Dual SIM Slot, Octa Core CPU, GPS, Bluetooth (Green)"/>
    <x v="4"/>
    <n v="7550"/>
    <n v="24990"/>
    <n v="0.69799999999999995"/>
    <n v="5"/>
    <n v="1"/>
    <n v="1"/>
    <b v="0"/>
    <b v="0"/>
    <b v="0"/>
    <b v="0"/>
    <d v="2026-06-05T00:00:00"/>
    <n v="5"/>
  </r>
  <r>
    <s v="B0GWHYQW77"/>
    <s v="Lenovo Idea Tab Pro Gen 2 with Pen Plus | 13&amp;quot; Display, 3.5K Resolution, 144Hz Refresh | 8GB, 256GB | Snapdragon 8s Gen 4 | 10200mAh | 4 JBL Speakers| USB 3.0 with DP-Out | Wi-Fi 7 | Luna Grey"/>
    <x v="4"/>
    <n v="39999"/>
    <n v="70000"/>
    <n v="0.42899999999999999"/>
    <n v="4.4000000000000004"/>
    <n v="58"/>
    <n v="1"/>
    <b v="0"/>
    <b v="0"/>
    <b v="0"/>
    <b v="0"/>
    <d v="2026-06-05T00:00:00"/>
    <n v="255.20000000000002"/>
  </r>
  <r>
    <s v="B0GP6YWSY2"/>
    <s v="Lenovo {Smartchoice} Idea Tab Pro with Pen Plus &amp;amp; Keyboard|12.7&amp;quot; 3K Display|144 Hz Refresh|12 GB RAM, 256 GB ROM| AI-Enabled| MediaTek Dimensity 8300|4 JBL Speakers|10200 mAh Battery with 45 W Charger"/>
    <x v="4"/>
    <n v="39999"/>
    <n v="58000"/>
    <n v="0.31"/>
    <n v="4.3"/>
    <n v="7"/>
    <n v="1"/>
    <b v="0"/>
    <b v="0"/>
    <b v="0"/>
    <b v="0"/>
    <d v="2026-06-05T00:00:00"/>
    <n v="30.099999999999998"/>
  </r>
  <r>
    <s v="B0DW49RMHR"/>
    <s v="XIAOMI Pad 7 Nano Texture Display [Smartchoice] | Snapdragon 7+ Gen 3| 3.2K Display (28.44 cm /11.2&amp;quot;) Tablet| 12GB, 256GB| Anti-Reflective| Anti-Glare| HyperOS 2| Dolby Vision Atmos |Sage Green"/>
    <x v="4"/>
    <n v="32999"/>
    <n v="39999"/>
    <n v="0.17499999999999999"/>
    <n v="4.5"/>
    <n v="2102"/>
    <n v="1"/>
    <b v="0"/>
    <b v="0"/>
    <b v="0"/>
    <b v="0"/>
    <d v="2026-06-05T00:00:00"/>
    <n v="9459"/>
  </r>
  <r>
    <s v="B0919NL1HZ"/>
    <s v="Lenovo M8 HD 2nd Gen with Wi-Fi (8 Inch, 3GB, 32 GB) [Year-2020], Grey"/>
    <x v="4"/>
    <n v="10999"/>
    <n v="17999"/>
    <n v="0.38900000000000001"/>
    <n v="4.0999999999999996"/>
    <n v="1130"/>
    <n v="1"/>
    <b v="0"/>
    <b v="0"/>
    <b v="0"/>
    <b v="0"/>
    <d v="2026-06-05T00:00:00"/>
    <n v="4633"/>
  </r>
  <r>
    <s v="B0CKLCYJFB"/>
    <s v="Baatu Enable Tablet - Parental Control Tab for Kids (10.1 inch) | Screen Time Monitor, App Blocker, Content Monitor &amp;amp; Location Tracking | 6000 mAH Battery | 4G &amp;amp; WiFi Calling | 4GB RAM, 64 GB ROM"/>
    <x v="4"/>
    <n v="8349"/>
    <n v="15999"/>
    <n v="0.47799999999999998"/>
    <n v="3.6"/>
    <n v="146"/>
    <n v="1"/>
    <b v="0"/>
    <b v="0"/>
    <b v="0"/>
    <b v="0"/>
    <d v="2026-06-05T00:00:00"/>
    <n v="525.6"/>
  </r>
  <r>
    <s v="B0D7N23QKD"/>
    <s v="OnePlus Pad 2 (12.1 Inch),12GB RAM, 256GB Storage Snapdragon 8 Gen 3,144Hz Refresh Rate, 6 Speakers, 3K 12.1 Display, AI Features, 9610 mAh Battery, Wi-Fi with Cellular Data Sharing [Nimbus Gray]"/>
    <x v="4"/>
    <n v="35999"/>
    <n v="47999"/>
    <n v="0.25"/>
    <n v="4.5"/>
    <n v="939"/>
    <n v="1"/>
    <b v="0"/>
    <b v="0"/>
    <b v="0"/>
    <b v="0"/>
    <d v="2026-06-05T00:00:00"/>
    <n v="4225.5"/>
  </r>
  <r>
    <s v="B0FCR8HZVF"/>
    <s v="Lenovo Yoga Tab Plus Smartchoice AI Tablet with Pen+Keyboard |12.7&amp;quot; Display, 3K Resolution, 144 Hz|16GB RAM, 256GB ROM| Snapdragon 8 Gen 3|10200 mAh|6 Speakers| USB 3.0 with DP-Out|1Year ADP Free|Teal"/>
    <x v="4"/>
    <n v="54999"/>
    <n v="79000"/>
    <n v="0.30399999999999999"/>
    <n v="4.4000000000000004"/>
    <n v="291"/>
    <n v="1"/>
    <b v="0"/>
    <b v="0"/>
    <b v="0"/>
    <b v="0"/>
    <d v="2026-06-05T00:00:00"/>
    <n v="1280.4000000000001"/>
  </r>
  <r>
    <s v="B0BY2ZZ4SJ"/>
    <s v="OnePlus Pad 29.49Cm LCD Display, 12Gb Ram,256Gb Storage, Mediatek Dimensity 9000, Android 13.1, 144Hz Refresh Rate, Dolby Vision Atmos, Wi-Fi with Cellular Data Sharing Tablet, Green"/>
    <x v="4"/>
    <n v="28999"/>
    <n v="39999"/>
    <n v="0.27500000000000002"/>
    <n v="4.5"/>
    <n v="743"/>
    <n v="1"/>
    <b v="0"/>
    <b v="0"/>
    <b v="0"/>
    <b v="0"/>
    <d v="2026-06-05T00:00:00"/>
    <n v="3343.5"/>
  </r>
  <r>
    <s v="B0DZ79Q1DB"/>
    <s v="Apple iPad 11â€³: A16 chip, 27.69 cm (11â€³) Model, Liquid Retina Display, 128GB, Wi-Fi 6, 12MP Front/12MP Back Camera, Touch ID, All-Day Battery Life â€” Silver"/>
    <x v="4"/>
    <n v="34400"/>
    <n v="34900"/>
    <n v="1.4E-2"/>
    <n v="4.5999999999999996"/>
    <n v="1602"/>
    <n v="1"/>
    <b v="0"/>
    <b v="0"/>
    <b v="0"/>
    <b v="0"/>
    <d v="2026-06-05T00:00:00"/>
    <n v="7369.2"/>
  </r>
  <r>
    <s v="B0GX6Q2NBS"/>
    <s v="OnePlus Pad 4, SnapdragonÂ® 8 Elite Gen 5 Platform, 33.53cm 13.2&amp;quot; 3.4K Screen, 144Hz Adaptive, 8 Speakers, AI Powered, PC-Level Productivity, 13,380 mAh Battery, 12GB + 512GB, WiFi,Dune Glow"/>
    <x v="4"/>
    <n v="64999"/>
    <n v="67999"/>
    <n v="4.3999999999999997E-2"/>
    <n v="4.2"/>
    <n v="41"/>
    <n v="1"/>
    <b v="0"/>
    <b v="0"/>
    <b v="0"/>
    <b v="0"/>
    <d v="2026-06-05T00:00:00"/>
    <n v="172.20000000000002"/>
  </r>
  <r>
    <s v="B0GWMPF9PM"/>
    <s v="DOMO Slate SL39 10.1-Inch 4G Tablet PC, inbuilt Storage, 4GB RAM + 32GB,1TB Expandable, Dual SIM Slot, Bluetooth, Octa Core CPU, GPS, (Green)"/>
    <x v="4"/>
    <n v="7550"/>
    <n v="24990"/>
    <n v="0.69799999999999995"/>
    <n v="3"/>
    <n v="9"/>
    <n v="1"/>
    <b v="0"/>
    <b v="0"/>
    <b v="0"/>
    <b v="0"/>
    <d v="2026-06-05T00:00:00"/>
    <n v="27"/>
  </r>
  <r>
    <s v="B0GX6W5XYT"/>
    <s v="OnePlus Pad 4, SnapdragonÂ® 8 Elite Gen 5 Platform, 33.53cm 13.2&amp;quot; 3.4K Screen, 144Hz Adaptive, 8 Speakers, AI Powered, PC-Level Productivity, 13,380 mAh Battery, 8GB + 256GB, WiFi,Sage Mist"/>
    <x v="4"/>
    <n v="59999"/>
    <n v="62999"/>
    <n v="4.8000000000000001E-2"/>
    <n v="4.2"/>
    <n v="41"/>
    <n v="1"/>
    <b v="0"/>
    <b v="0"/>
    <b v="0"/>
    <b v="0"/>
    <d v="2026-06-05T00:00:00"/>
    <n v="172.20000000000002"/>
  </r>
  <r>
    <s v="B0GQTJDRSL"/>
    <s v="Acer Iconia 5G Tablet|11.45&amp;quot; 2.2kâ€90Hz IPS Display, MediaTek 8791 Processor, 8GB RAM + 128GB Storage, 16MP Rear+8MP Front Camera,Wi-Fi + 5G Volte, Android 15,BT 5.2, Slim Metal Body,Silver"/>
    <x v="4"/>
    <n v="25499"/>
    <n v="44999"/>
    <n v="0.433"/>
    <n v="3.6"/>
    <n v="65"/>
    <n v="1"/>
    <b v="0"/>
    <b v="0"/>
    <b v="0"/>
    <b v="0"/>
    <d v="2026-06-05T00:00:00"/>
    <n v="234"/>
  </r>
  <r>
    <s v="B0DZCB3G9Q"/>
    <s v="Lenovo {Smartchoice} Idea Tab Pro with Pen Plus|12.7&amp;quot; 3K Display|144 Hz Refresh|12 GB RAM, 256 GB ROM| AI-Enabled| MediaTek Dimensity 8300|Quad JBL Speakers|10200 mAh Battery with 45 W Charger|WiFi 6e"/>
    <x v="4"/>
    <n v="33999"/>
    <n v="48999"/>
    <n v="0.30599999999999999"/>
    <n v="4.4000000000000004"/>
    <n v="787"/>
    <n v="1"/>
    <b v="0"/>
    <b v="0"/>
    <b v="0"/>
    <b v="0"/>
    <d v="2026-06-05T00:00:00"/>
    <n v="3462.8"/>
  </r>
  <r>
    <s v="B0FVXV5Z8W"/>
    <s v="Motorola Pad 60 Neo (Pantone Bronze Green, 8GB RAM, 128GB Storage)"/>
    <x v="4"/>
    <n v="25790"/>
    <n v="28000"/>
    <n v="7.9000000000000001E-2"/>
    <n v="3.8"/>
    <n v="58"/>
    <n v="1"/>
    <b v="0"/>
    <b v="0"/>
    <b v="0"/>
    <b v="0"/>
    <d v="2026-06-05T00:00:00"/>
    <n v="220.39999999999998"/>
  </r>
  <r>
    <s v="B0GGB63MFD"/>
    <s v="IKALL N16 Pro Smart Tablet â€“ 8 Inch HD Display, Octa Core Processor, 4GB RAM + 32GB ROM, Android 12, 4G Voice Calling, Long-Lasting 5000mAh Battery (Blue)"/>
    <x v="4"/>
    <n v="7199"/>
    <n v="8999"/>
    <n v="0.2"/>
    <n v="2.6"/>
    <n v="3"/>
    <n v="1"/>
    <b v="0"/>
    <b v="0"/>
    <b v="0"/>
    <b v="0"/>
    <d v="2026-06-05T00:00:00"/>
    <n v="7.8000000000000007"/>
  </r>
  <r>
    <s v="B0GMJMGKRC"/>
    <s v="DOMO Slate SL39 4G Tablet 10.1 inch, 4GB RAM + 32GB ROM, 4G Connectivity, inbuilt Storage, 1TB Expandable, Dual SIM Slot, Bluetooth Octa Core CPU GPS, (Grey)"/>
    <x v="4"/>
    <n v="7550"/>
    <n v="24990"/>
    <n v="0.69799999999999995"/>
    <n v="3.3"/>
    <n v="11"/>
    <n v="1"/>
    <b v="0"/>
    <b v="0"/>
    <b v="0"/>
    <b v="0"/>
    <d v="2026-06-05T00:00:00"/>
    <n v="36.299999999999997"/>
  </r>
  <r>
    <s v="B0CJ389HC1"/>
    <s v="Samsung Galaxy Tab A9 22.10 cm (8.7 inch) Display, RAM 4 GB, ROM 64 GB Expandable, Wi-Fi+4G, Tablet, Dark Blue"/>
    <x v="4"/>
    <n v="18749"/>
    <n v="25999"/>
    <n v="0.27900000000000003"/>
    <n v="4"/>
    <n v="238"/>
    <n v="1"/>
    <b v="0"/>
    <b v="0"/>
    <b v="0"/>
    <b v="0"/>
    <d v="2026-06-05T00:00:00"/>
    <n v="952"/>
  </r>
  <r>
    <s v="B0GPVLKNN4"/>
    <s v="XIAOMI Pad 8 [Smartchoice] Flagship Snapdragon 8s Gen 4 |11.2&amp;quot; 3.2K Display | 8GB, 128GB | Ultra Slim Metal Design | 9200mAh Battery | 68 Bn+ Colours HyperAI | Wi-Fi 7 | Titanium Blue"/>
    <x v="4"/>
    <n v="35999"/>
    <n v="37999"/>
    <n v="5.2999999999999999E-2"/>
    <n v="4.4000000000000004"/>
    <n v="39"/>
    <n v="1"/>
    <b v="0"/>
    <b v="0"/>
    <b v="0"/>
    <b v="0"/>
    <d v="2026-06-05T00:00:00"/>
    <n v="171.60000000000002"/>
  </r>
  <r>
    <s v="B0DX234NWP"/>
    <s v="XP-Pen Magic Note Pad 10.95&amp;quot; Digital Note-Taking Tablet, Paper-Like LCD Display, 3-Color Modes, 16K Pressure Stylus (X3 Pro Pencil 2), 6+128GB, Android 14 â€“ for Writing, Reading, PDF Notes &amp;amp; Study"/>
    <x v="4"/>
    <n v="39995"/>
    <n v="79999"/>
    <n v="0.5"/>
    <n v="4.3"/>
    <n v="288"/>
    <n v="1"/>
    <b v="0"/>
    <b v="0"/>
    <b v="0"/>
    <b v="0"/>
    <d v="2026-06-05T00:00:00"/>
    <n v="1238.3999999999999"/>
  </r>
  <r>
    <s v="B0F29L7HJP"/>
    <s v="Samsung Galaxy Tab S10 FE [Smartchoice], S Pen in-Box, 27.7 cm (10.9 inch) Display, AI Writing, Desktop Mode, Pre Loaded Pro Apps, 8 GB RAM, 128 GB Storage, Wi-Fi Tablet, Silver"/>
    <x v="4"/>
    <n v="49999"/>
    <m/>
    <m/>
    <n v="4.5"/>
    <n v="242"/>
    <n v="1"/>
    <b v="0"/>
    <b v="0"/>
    <b v="0"/>
    <b v="0"/>
    <d v="2026-06-05T00:00:00"/>
    <n v="1089"/>
  </r>
  <r>
    <s v="B0FN7431GX"/>
    <s v="OnePlus Pad 3 World&amp;#x27;s Fastest Snapdragon 8 Elite Processor, 13.2&amp;quot; 3.4k Screen, 144Hz Adaptive Refresh Rate, 8 Speakers, AI, 12140 mAh Battery, 12 GB RAM + 256 GB ROM WiFi, Storm Blue"/>
    <x v="4"/>
    <n v="49999"/>
    <m/>
    <m/>
    <n v="4.5"/>
    <n v="511"/>
    <n v="1"/>
    <b v="0"/>
    <b v="0"/>
    <b v="0"/>
    <b v="0"/>
    <d v="2026-06-05T00:00:00"/>
    <n v="2299.5"/>
  </r>
  <r>
    <s v="B0DHH9PWHJ"/>
    <s v="Samsung Galaxy Tab S10 Plus [Smartchoice], S Pen in-Box, 31.5 cm (12.4 inch) Dynamic AMOLED 2X Display, 12 GB RAM, 256 GB Storage, Wi-Fi + 5G Tablet, Moonstone Gray"/>
    <x v="4"/>
    <n v="79999"/>
    <n v="117599"/>
    <n v="0.32"/>
    <n v="3.9"/>
    <n v="22"/>
    <n v="1"/>
    <b v="0"/>
    <b v="0"/>
    <b v="0"/>
    <b v="0"/>
    <d v="2026-06-05T00:00:00"/>
    <n v="85.8"/>
  </r>
  <r>
    <s v="B0G823JLBV"/>
    <s v="IKALL N12 7-Inch Android Tablet | 3GB RAM, 16GB ROM | 2MP Rear Camera | 3000mAh Battery | WiFi Tablet â€“ Black"/>
    <x v="4"/>
    <n v="4099"/>
    <n v="5999"/>
    <n v="0.317"/>
    <n v="2.4"/>
    <n v="29"/>
    <n v="1"/>
    <b v="0"/>
    <b v="0"/>
    <b v="0"/>
    <b v="0"/>
    <d v="2026-06-05T00:00:00"/>
    <n v="69.599999999999994"/>
  </r>
  <r>
    <s v="B0GDTRYXYF"/>
    <s v="HAMMER Airflow Neo Earbuds with 80H Playtime, 13mm Titanium Driver, 40ms Gaming Mode, Fast Charging Buds, Type-C Charging, Voice Assistant, Lightweight Dual-Tone Design (Grey)"/>
    <x v="5"/>
    <n v="599"/>
    <n v="2499"/>
    <n v="0.76"/>
    <n v="4"/>
    <n v="509"/>
    <n v="1"/>
    <b v="0"/>
    <b v="0"/>
    <b v="1"/>
    <b v="0"/>
    <d v="2026-06-05T00:00:00"/>
    <n v="2036"/>
  </r>
  <r>
    <s v="B0FC2YFSN4"/>
    <s v="Boat Airdopes 219, 4Mics ENx, 40H Battery, Best in Segment for Calling, Stream Ad Free Music via App Support, Bluetooth Earbuds, TWS Ear Buds Wireless Earphones with mic (Forest Sage)"/>
    <x v="5"/>
    <n v="899"/>
    <n v="3990"/>
    <n v="0.77500000000000002"/>
    <n v="3.9"/>
    <n v="5247"/>
    <n v="1"/>
    <b v="0"/>
    <b v="0"/>
    <b v="0"/>
    <b v="0"/>
    <d v="2026-06-05T00:00:00"/>
    <n v="20463.3"/>
  </r>
  <r>
    <s v="B0GTVK1YFJ"/>
    <s v="DuoPods Infinity True Wireless Earbuds, 70H Playtime, 3D Soundstage, AI-ENC HD Calls, 13mm Drivers, AAC Audio, Bluetooth 5.3, IPX4, Made in India"/>
    <x v="5"/>
    <n v="899"/>
    <n v="4499"/>
    <n v="0.8"/>
    <m/>
    <n v="0"/>
    <n v="1"/>
    <b v="0"/>
    <b v="0"/>
    <b v="0"/>
    <b v="0"/>
    <d v="2026-06-05T00:00:00"/>
    <s v=""/>
  </r>
  <r>
    <s v="B0FMDL81GS"/>
    <s v="OnePlus Nord Buds 3r TWS Earbuds up to 54 Hours Playback, 2-mic Clear Calls, 3D Spatial Audio, AI Translation, 12.4mm Drivers, Dual-Device Connectivity, 47ms Low Latency - Ash Black"/>
    <x v="5"/>
    <n v="1799"/>
    <n v="1999"/>
    <n v="0.1"/>
    <n v="4.3"/>
    <n v="45386"/>
    <n v="1"/>
    <b v="0"/>
    <b v="0"/>
    <b v="0"/>
    <b v="0"/>
    <d v="2026-06-05T00:00:00"/>
    <n v="195159.8"/>
  </r>
  <r>
    <s v="B0GY8PF9S6"/>
    <s v="CMEE BURDS Earbuds Wireless Bluetooth 5.3 TWS Earphones with Full Touch Control, Built-in Microphone, Premium Sound Quality, Fast Stable Connection, Type C Charger"/>
    <x v="5"/>
    <n v="349"/>
    <n v="1999"/>
    <n v="0.82499999999999996"/>
    <m/>
    <n v="0"/>
    <n v="1"/>
    <b v="0"/>
    <b v="0"/>
    <b v="0"/>
    <b v="0"/>
    <d v="2026-06-05T00:00:00"/>
    <s v=""/>
  </r>
  <r>
    <s v="B0G2H4R5YB"/>
    <s v="Kratos TW02 Ear Buds Wireless with 30H Playtime, Noise Isolation &amp;amp; Clear Calls, Bluetooth Earbuds with Voice Assistant, Ear Buds with Bluetooth V 5.3 &amp;amp; with Type C Fast Charging, IPX5 TWS Earphones"/>
    <x v="5"/>
    <n v="498.88"/>
    <n v="1999"/>
    <n v="0.75"/>
    <n v="4.2"/>
    <n v="680"/>
    <n v="1"/>
    <b v="0"/>
    <b v="0"/>
    <b v="0"/>
    <b v="0"/>
    <d v="2026-06-05T00:00:00"/>
    <n v="2856"/>
  </r>
  <r>
    <s v="B0FZD7ZJGD"/>
    <s v="HAMMER Ultra Pods True Wireless Earbuds with in-Built Mic, 100H Standby Time, 1H Charging USB Type-C, 13mm Dynamic Drivers, 50H Playtime, BT v6.0 Connectivity, IPX5 Water Resistant (Beige)"/>
    <x v="5"/>
    <n v="599"/>
    <n v="3499"/>
    <n v="0.82899999999999996"/>
    <n v="3.7"/>
    <n v="1062"/>
    <n v="1"/>
    <b v="0"/>
    <b v="0"/>
    <b v="0"/>
    <b v="0"/>
    <d v="2026-06-05T00:00:00"/>
    <n v="3929.4"/>
  </r>
  <r>
    <s v="B0FHKHT717"/>
    <s v="Philips TAT1269 Bluetooth Truly Wireless in Ear Earbuds with mic, 13mm Drivers, Bluetooth 5.4, 40H Playtime, IPX5, Fast Charging, Touch Controls, Voice Assistant, Mono Mode, LED Indicator (Deep Black)"/>
    <x v="5"/>
    <n v="999"/>
    <n v="1999"/>
    <n v="0.5"/>
    <n v="3.9"/>
    <n v="691"/>
    <n v="1"/>
    <b v="0"/>
    <b v="0"/>
    <b v="0"/>
    <b v="0"/>
    <d v="2026-06-05T00:00:00"/>
    <n v="2694.9"/>
  </r>
  <r>
    <s v="B0C3ZYFZ77"/>
    <s v="Boat Airdopes Joy, 35Hrs Battery, Fast Charge, IWP Tech, Low Latency, 2Mic ENx, Type-C Port, v5.3 Bluetooth Earbuds, TWS Ear Buds Wireless Earphones with mic(Jet Black)"/>
    <x v="5"/>
    <n v="799"/>
    <n v="3490"/>
    <n v="0.77100000000000002"/>
    <n v="3.8"/>
    <n v="9699"/>
    <n v="1"/>
    <b v="0"/>
    <b v="0"/>
    <b v="0"/>
    <b v="0"/>
    <d v="2026-06-05T00:00:00"/>
    <n v="36856.199999999997"/>
  </r>
  <r>
    <s v="B0F8BVSK21"/>
    <s v="Boat Airdopes 141 Gen 2, 4 Mics ENx Tech, 48 Hrs Playback, Free Music Streaming, Fast Charge, Low Latency, IPX4, v5.4 Bluetooth Earbuds, TWS Ear Buds Wireless Earphones with mic (Active Black)"/>
    <x v="5"/>
    <n v="799"/>
    <n v="3990"/>
    <n v="0.8"/>
    <n v="3.9"/>
    <n v="89370"/>
    <n v="1"/>
    <b v="0"/>
    <b v="0"/>
    <b v="0"/>
    <b v="0"/>
    <d v="2026-06-05T00:00:00"/>
    <n v="348543"/>
  </r>
  <r>
    <s v="B0FBR6HGXM"/>
    <s v="realme Buds T200x True Wireless Earbuds with 12.4mm Dynamic Bass Drivers, 25 dB ANC, Quad Mic, 45ms Latency, Upto 48 Hrs Playback, Fast Charge, IP55 Rated, BT 5.4 (Pure Black)"/>
    <x v="5"/>
    <n v="1329"/>
    <n v="2499"/>
    <n v="0.46800000000000003"/>
    <n v="4.0999999999999996"/>
    <n v="33124"/>
    <n v="1"/>
    <b v="0"/>
    <b v="0"/>
    <b v="0"/>
    <b v="0"/>
    <d v="2026-06-05T00:00:00"/>
    <n v="135808.4"/>
  </r>
  <r>
    <s v="B0G6M5B9KC"/>
    <s v="Earbuds for One-Plus Nord CE 2 Lite Earbuds Original Like True Wireless Bluetooth in-Ear Headphones Earphones TWS with Mic, Touch Controls, Deep Bass, Sports (38 Hours Case, OPBR1)"/>
    <x v="5"/>
    <n v="699"/>
    <n v="1999"/>
    <n v="0.65"/>
    <n v="2"/>
    <n v="2"/>
    <n v="1"/>
    <b v="0"/>
    <b v="0"/>
    <b v="0"/>
    <b v="0"/>
    <d v="2026-06-05T00:00:00"/>
    <n v="4"/>
  </r>
  <r>
    <s v="B0FCMRVJKH"/>
    <s v="OnePlus Buds 4 TWS Earbuds with Upto 55dB Real-time ANC, Adaptive Mode, Dual Drivers with DACs, 3D Audio, Upto 45hrs Music Playback, ,Dual-Device connectivity, 47ms Low Latency, Zen Green"/>
    <x v="5"/>
    <n v="6099"/>
    <n v="6499"/>
    <n v="6.2E-2"/>
    <n v="4.3"/>
    <n v="2468"/>
    <n v="1"/>
    <b v="0"/>
    <b v="0"/>
    <b v="0"/>
    <b v="0"/>
    <d v="2026-06-05T00:00:00"/>
    <n v="10612.4"/>
  </r>
  <r>
    <s v="B0DXPNVSSB"/>
    <s v="boAt Airdopes 101v2, 35H Battery, ENx Tech, 13mm Drivers, ASAP Charge, Flex-Fit Ear Tips,Stream Ad Free Music via App Support, Bluetooth Earbuds, TWS Ear Buds Wireless Earphones with mic (Pitch Black)"/>
    <x v="5"/>
    <n v="795"/>
    <n v="3990"/>
    <n v="0.80100000000000005"/>
    <n v="3.8"/>
    <n v="926"/>
    <n v="5"/>
    <b v="0"/>
    <b v="0"/>
    <b v="0"/>
    <b v="0"/>
    <d v="2026-06-05T00:00:00"/>
    <n v="3518.7999999999997"/>
  </r>
  <r>
    <s v="B0DFPKVGVC"/>
    <s v="OnePlus Nord Buds 3 Truly Wireless Bluetooth Earbuds with up to 32dB Active Noise Cancellation, 10mins for 11Hours Fast Charging with Up to 43h Music Playback -Melodic White"/>
    <x v="5"/>
    <n v="2599"/>
    <n v="2799"/>
    <n v="7.0999999999999994E-2"/>
    <n v="4.3"/>
    <n v="21134"/>
    <n v="1"/>
    <b v="0"/>
    <b v="0"/>
    <b v="0"/>
    <b v="0"/>
    <d v="2026-06-05T00:00:00"/>
    <n v="90876.2"/>
  </r>
  <r>
    <s v="B0DZXTVL6V"/>
    <s v="Boat Airdopes Plus 311, Glass Design, ENx Tech, Fast Charge, 50 Hrs Battery, Stream Ad Free Music via App Support Bluetooth Earbuds, TWS Ear Buds Wireless Earphones with mic (Charcoal Black)"/>
    <x v="5"/>
    <n v="799"/>
    <n v="3990"/>
    <n v="0.8"/>
    <n v="3.7"/>
    <n v="5979"/>
    <n v="1"/>
    <b v="0"/>
    <b v="0"/>
    <b v="0"/>
    <b v="0"/>
    <d v="2026-06-05T00:00:00"/>
    <n v="22122.3"/>
  </r>
  <r>
    <s v="B0DBGNDTY2"/>
    <s v="realme Buds T310 Truly Wireless in Ear Earbuds with 46dB Hybrid ANC, 360Â° Spatial Audio, 12.4mm Dynamic Bass Driver, Upto 40Hrs Battery and Fast Charging (Agile White)"/>
    <x v="5"/>
    <n v="2199"/>
    <n v="3999"/>
    <n v="0.45"/>
    <n v="4.2"/>
    <n v="8652"/>
    <n v="1"/>
    <b v="0"/>
    <b v="0"/>
    <b v="0"/>
    <b v="0"/>
    <d v="2026-06-05T00:00:00"/>
    <n v="36338.400000000001"/>
  </r>
  <r>
    <s v="B0FDGVNSLH"/>
    <s v="Samsung Galaxy Buds Core (Black) Galaxy AI Enabled in-Ear TWS with ANC | Enriched Bass | 6 Mic Setup | IP54 | 35hrs Battery | Touch Controls"/>
    <x v="5"/>
    <n v="4399"/>
    <n v="9999"/>
    <n v="0.56000000000000005"/>
    <n v="4"/>
    <n v="2445"/>
    <n v="1"/>
    <b v="0"/>
    <b v="0"/>
    <b v="0"/>
    <b v="0"/>
    <d v="2026-06-05T00:00:00"/>
    <n v="9780"/>
  </r>
  <r>
    <s v="B0BQN3NW8C"/>
    <s v="GOBOULT Z40 True Wireless in Ear Earbuds with 60H Playtime, Zenâ„¢ ENC Mic, Low Latency Gaming, Type-C Fast Charging, Made in India, 10mm Rich Bass Drivers, IPX5, Ear Buds TWS (White)"/>
    <x v="5"/>
    <n v="999"/>
    <n v="4999"/>
    <n v="0.8"/>
    <n v="3.9"/>
    <n v="36324"/>
    <n v="1"/>
    <b v="0"/>
    <b v="0"/>
    <b v="0"/>
    <b v="0"/>
    <d v="2026-06-05T00:00:00"/>
    <n v="141663.6"/>
  </r>
  <r>
    <s v="B0GMJLFCR7"/>
    <s v="Samsung Galaxy Buds4 Pro (Black) in-Ear Wireless Earbuds with Hi-Fi Audio | Adaptive ANC 2.0 and EQ 2.0 | 2-Way Speaker | 360-Audio | Voice Detect | Live Translation | Head Gesture | IP57"/>
    <x v="5"/>
    <n v="22999"/>
    <n v="29999"/>
    <n v="0.23300000000000001"/>
    <n v="4.5999999999999996"/>
    <n v="174"/>
    <n v="1"/>
    <b v="0"/>
    <b v="0"/>
    <b v="0"/>
    <b v="0"/>
    <d v="2026-06-05T00:00:00"/>
    <n v="800.4"/>
  </r>
  <r>
    <s v="B0GDR29F53"/>
    <s v="Portronics Conch Theta C in Ear Type C Wired Earphones with in Line HD Mic, Powerful Audio, 14.2mm Driver, Unique Earbuds Design, TPE Anti Tangle Wire, in line Controls, Wide Compatibility(Orange)"/>
    <x v="5"/>
    <n v="322.54000000000002"/>
    <n v="799"/>
    <n v="0.59599999999999997"/>
    <n v="4.0999999999999996"/>
    <n v="9487"/>
    <n v="1"/>
    <b v="0"/>
    <b v="0"/>
    <b v="0"/>
    <b v="0"/>
    <d v="2026-06-05T00:00:00"/>
    <n v="38896.699999999997"/>
  </r>
  <r>
    <s v="B0GDQ28DY5"/>
    <s v="realme Buds Air 8,11mm+6mm Dual Dynamic Bass Drivers,58Hrs Playtime, 55dB ANC,6 Mic ENC, 45ms Low Latency, 360Â° Spatial Audio, Hi-Res LHDC, IP55 Dust &amp;amp; Water Resistant, BT v5.4 (Master Grey)"/>
    <x v="5"/>
    <n v="3599"/>
    <n v="5299"/>
    <n v="0.32100000000000001"/>
    <n v="4.2"/>
    <n v="794"/>
    <n v="1"/>
    <b v="0"/>
    <b v="0"/>
    <b v="0"/>
    <b v="0"/>
    <d v="2026-06-05T00:00:00"/>
    <n v="3334.8"/>
  </r>
  <r>
    <s v="B0DS2Y94LS"/>
    <s v="Noise Buds VS102 Plus Wireless Earbuds, Bluetooth Earbuds with 70H Playtime, Quad Mic ENC for Clear Calls, 11mm Drivers, Deep Bass, Instacharge, Bluetooth v5.3 (Matte Black)"/>
    <x v="5"/>
    <n v="1199"/>
    <n v="3999"/>
    <n v="0.7"/>
    <n v="3.6"/>
    <n v="7217"/>
    <n v="1"/>
    <b v="0"/>
    <b v="0"/>
    <b v="0"/>
    <b v="0"/>
    <d v="2026-06-05T00:00:00"/>
    <n v="25981.200000000001"/>
  </r>
  <r>
    <s v="B0GQTNXDYM"/>
    <s v="OnePlus Nord Buds 4 Pro TWS Earbuds Upto 55dB Real-time ANC, Adaptive Mode, 12mm Titanium-Coated Driver, Spatial Audio, Upto 54hrs Playback, Dual-Device connectivity, 47ms Low Latency, Radiant Gray"/>
    <x v="5"/>
    <n v="3999"/>
    <m/>
    <m/>
    <n v="4.3"/>
    <n v="655"/>
    <n v="1"/>
    <b v="0"/>
    <b v="0"/>
    <b v="0"/>
    <b v="0"/>
    <d v="2026-06-05T00:00:00"/>
    <n v="2816.5"/>
  </r>
  <r>
    <s v="B0DCVLM12X"/>
    <s v="soundcore by Anker R50i VI True Wireless Earbuds, 10mm Drivers with Big Bass, Bluetooth 5.3, 30H Long Playtime, Water-Resistant, 2 Mics for AI Clear Calls, 22 Preset EQs, Customization (White)"/>
    <x v="5"/>
    <n v="929"/>
    <n v="2998"/>
    <n v="0.69"/>
    <n v="4.0999999999999996"/>
    <n v="356"/>
    <n v="1"/>
    <b v="0"/>
    <b v="0"/>
    <b v="0"/>
    <b v="0"/>
    <d v="2026-06-05T00:00:00"/>
    <n v="1459.6"/>
  </r>
  <r>
    <s v="B09Y5N4M7Z"/>
    <s v="Noise Buds VS104 Truly Wireless Earbuds with 45H of Playtime, Quad Mic with ENC, Instacharge(10 Min=200 Min), 13Mm Driver, Low Latency, BT V5.2 (Snow White)"/>
    <x v="5"/>
    <n v="1099"/>
    <n v="3499"/>
    <n v="0.68600000000000005"/>
    <n v="3.8"/>
    <n v="30056"/>
    <n v="1"/>
    <b v="0"/>
    <b v="0"/>
    <b v="0"/>
    <b v="0"/>
    <d v="2026-06-05T00:00:00"/>
    <n v="114212.79999999999"/>
  </r>
  <r>
    <s v="B0F62JBFBS"/>
    <s v="pTron Bassbuds Spark in-Ear TWS Earbuds with Stereo Sound, 40Hrs Playtime, Stereo Calls, Bluetooth V5.3 Headphones with Quick Pairing, Touch Control, Voice Assistant, Type C Charging &amp;amp; IPX5 (Black)"/>
    <x v="5"/>
    <n v="597"/>
    <n v="1999"/>
    <n v="0.70099999999999996"/>
    <n v="3.9"/>
    <n v="3961"/>
    <n v="1"/>
    <b v="0"/>
    <b v="0"/>
    <b v="0"/>
    <b v="0"/>
    <d v="2026-06-05T00:00:00"/>
    <n v="15447.9"/>
  </r>
  <r>
    <s v="B0DRD7G7F5"/>
    <s v="realme Buds Air 7,12.4mm Dynamic Bass Drivers,52Hrs Playtime,52dB Hybrid ANC,6 Mic ENC,45ms Low Latency,360Â° Spatial Audio,Hi-Res LHDC,IP55 Dust &amp;amp; Water Resistant,True Wireless TWS BT v5.4(Moss Green)"/>
    <x v="5"/>
    <n v="2999"/>
    <n v="4999"/>
    <n v="0.4"/>
    <n v="4.3"/>
    <n v="3759"/>
    <n v="1"/>
    <b v="0"/>
    <b v="0"/>
    <b v="0"/>
    <b v="0"/>
    <d v="2026-06-05T00:00:00"/>
    <n v="16163.699999999999"/>
  </r>
  <r>
    <s v="B0DHL63KWK"/>
    <s v="JBL Wave Buds 2 Wireless Ear Buds - Black"/>
    <x v="5"/>
    <n v="2499"/>
    <n v="6999"/>
    <n v="0.64300000000000002"/>
    <n v="3.5"/>
    <n v="47730"/>
    <n v="1"/>
    <b v="0"/>
    <b v="0"/>
    <b v="0"/>
    <b v="0"/>
    <d v="2026-06-05T00:00:00"/>
    <n v="167055"/>
  </r>
  <r>
    <s v="B0FSDYHR92"/>
    <s v="Kratos Cube Ear Buds Wireless with 30H Playtime, Noise Isolation &amp;amp; Clear Calls, Bluetooth Earbuds with Voice Assistant, Ear Buds with Bluetooth V 5.3 &amp;amp; with Type C Fast Charging, IPX4 TWS Earphones"/>
    <x v="5"/>
    <n v="479"/>
    <n v="2999"/>
    <n v="0.84"/>
    <n v="3.5"/>
    <n v="498"/>
    <n v="1"/>
    <b v="0"/>
    <b v="0"/>
    <b v="0"/>
    <b v="0"/>
    <d v="2026-06-05T00:00:00"/>
    <n v="1743"/>
  </r>
  <r>
    <s v="B0FTFMNYBV"/>
    <s v="Mivi DuoPods Marathon Earbuds Wireless | Fast Charge | 70H Playtime | BT v5.3 | 13mm Drivers | Noise Cancellation | IPX4.0 TWS"/>
    <x v="5"/>
    <n v="999"/>
    <n v="3499"/>
    <n v="0.71399999999999997"/>
    <n v="4.2"/>
    <n v="948"/>
    <n v="1"/>
    <b v="0"/>
    <b v="0"/>
    <b v="0"/>
    <b v="0"/>
    <d v="2026-06-05T00:00:00"/>
    <n v="3981.6000000000004"/>
  </r>
  <r>
    <s v="B0DH2158PJ"/>
    <s v="Sounce Earphone Case Cover for Boat Airdopes 300 Premium TWS Soft Silicone Skin Case Cover Shock Absorbing Protective Case with Keychain [Front LED Visible] - Black"/>
    <x v="5"/>
    <n v="209"/>
    <n v="499"/>
    <n v="0.58099999999999996"/>
    <n v="3.2"/>
    <n v="669"/>
    <n v="1"/>
    <b v="0"/>
    <b v="0"/>
    <b v="0"/>
    <b v="0"/>
    <d v="2026-06-05T00:00:00"/>
    <n v="2140.8000000000002"/>
  </r>
  <r>
    <s v="B0GMQLR7JL"/>
    <s v="Earbuds for One Plus 12r/11r/10r/10t/10/10 pro/9/9 pro/8T/8/8pro/7Pro/7T/7TPro/Nord/Ce3 lite Wireless Earbuds (OPBR51)"/>
    <x v="5"/>
    <n v="690"/>
    <n v="1999"/>
    <n v="0.65500000000000003"/>
    <n v="1.7"/>
    <n v="10"/>
    <n v="1"/>
    <b v="0"/>
    <b v="0"/>
    <b v="0"/>
    <b v="0"/>
    <d v="2026-06-05T00:00:00"/>
    <n v="17"/>
  </r>
  <r>
    <s v="B0CFYJ8HRS"/>
    <s v="Noise Pure Pods Wireless Open Ear Earbuds with AirWaveâ„¢ Technology,Up-to 80H Playtime,Quad Mic with ENC,16mm Neodymium Dynamic Driver,Detachable Pure Band,BTv5.3 (Power Black)"/>
    <x v="5"/>
    <n v="2999"/>
    <n v="6999"/>
    <n v="0.57199999999999995"/>
    <n v="3.3"/>
    <n v="3571"/>
    <n v="3"/>
    <b v="0"/>
    <b v="0"/>
    <b v="0"/>
    <b v="0"/>
    <d v="2026-06-05T00:00:00"/>
    <n v="11784.3"/>
  </r>
  <r>
    <s v="B0GQTSHLLR"/>
    <s v="OnePlus Nord Buds 4 Pro TWS Earbuds, Upto 55dB Real-time ANC, Adaptive Mode, 12mm Titanium-Coated Driver, Spatial Audio, Upto 54hrs Playback, Dual-Device connectivity, 47ms Low Latency, Raven Black"/>
    <x v="5"/>
    <n v="3999"/>
    <m/>
    <m/>
    <n v="4.3"/>
    <n v="655"/>
    <n v="1"/>
    <b v="0"/>
    <b v="0"/>
    <b v="0"/>
    <b v="0"/>
    <d v="2026-06-05T00:00:00"/>
    <n v="2816.5"/>
  </r>
  <r>
    <s v="B0D4VN3S8T"/>
    <s v="Boat Nirvana Space, 360Âº Spatial Audio, Active Noise Cancellation (~32dB), 100Hrs Battery,4Mics ENx, Fast Charge, v5.3 Bluetooth Earbuds, TWS Ear Buds Wireless Earphones with mic (Cosmic Black)"/>
    <x v="5"/>
    <n v="1799"/>
    <n v="7999"/>
    <n v="0.77500000000000002"/>
    <n v="4"/>
    <n v="6615"/>
    <n v="1"/>
    <b v="0"/>
    <b v="0"/>
    <b v="0"/>
    <b v="0"/>
    <d v="2026-06-05T00:00:00"/>
    <n v="26460"/>
  </r>
  <r>
    <s v="B0D3R1LVR3"/>
    <s v="GOBOULT W20 Truly Wireless in Ear Earbuds with 40H Playtime, Zenâ„¢ ENC Mic, 45ms Low Latency, 13mm Bass Drivers, Type-C Fast Charging, Touch Controls, IPX5 Ear Buds TWS (Space Black)"/>
    <x v="5"/>
    <n v="899"/>
    <n v="2499"/>
    <n v="0.64"/>
    <n v="3.9"/>
    <n v="14890"/>
    <n v="1"/>
    <b v="0"/>
    <b v="0"/>
    <b v="0"/>
    <b v="0"/>
    <d v="2026-06-05T00:00:00"/>
    <n v="58071"/>
  </r>
  <r>
    <s v="B0FCLPQG26"/>
    <s v="Sony WF-C710NSA | Dual Noise Cancellation Wireless Bluetooth in Ear Earbuds | AI Call Quality | 40Hrs Battery W/O ANC | 30Hrs Battery with ANC - Black"/>
    <x v="5"/>
    <n v="6990"/>
    <n v="12990"/>
    <n v="0.46200000000000002"/>
    <n v="3.6"/>
    <n v="1083"/>
    <n v="1"/>
    <b v="0"/>
    <b v="0"/>
    <b v="0"/>
    <b v="0"/>
    <d v="2026-06-05T00:00:00"/>
    <n v="3898.8"/>
  </r>
  <r>
    <s v="B0GZSJ3XKW"/>
    <s v="CME Buds 2A Global Version in-Ear Wireless Earphone 12.4mm Driver 42dB ANC 4HD Mics Up to 35.5H Playback IP54 BT 5.4"/>
    <x v="5"/>
    <n v="399"/>
    <n v="1999"/>
    <n v="0.8"/>
    <m/>
    <n v="0"/>
    <n v="1"/>
    <b v="0"/>
    <b v="0"/>
    <b v="0"/>
    <b v="0"/>
    <d v="2026-06-05T00:00:00"/>
    <s v=""/>
  </r>
  <r>
    <s v="B0DBHBZZTN"/>
    <s v="Boat Nirvana Ivy, 50dB Hybrid ANC, 360Âº Spatial Audio, Dynamic Head Tracking,Fast Charge,App Support, 50HRS Battery, v5.3 Bluetooth Earbuds, TWS Ear Buds Wireless Earphones with mic (Quartz Cyan)"/>
    <x v="5"/>
    <n v="3299"/>
    <n v="17990"/>
    <n v="0.81699999999999995"/>
    <n v="3.8"/>
    <n v="1368"/>
    <n v="1"/>
    <b v="0"/>
    <b v="0"/>
    <b v="0"/>
    <b v="0"/>
    <d v="2026-06-05T00:00:00"/>
    <n v="5198.3999999999996"/>
  </r>
  <r>
    <s v="B0GCNNWM13"/>
    <s v="Noise Buds Mini Truly Wireless Earbuds (2026) | Half in-Ear Design | 40H Playtime | Quad Mic ENC for Clear Calls | 13mm Driver | Low Latency Gaming Mode | BT v5.3 | IPX4 Sweat Resistant - Jet Black"/>
    <x v="5"/>
    <n v="899"/>
    <n v="2999"/>
    <n v="0.7"/>
    <n v="3.9"/>
    <n v="3792"/>
    <n v="1"/>
    <b v="0"/>
    <b v="0"/>
    <b v="0"/>
    <b v="0"/>
    <d v="2026-06-05T00:00:00"/>
    <n v="14788.8"/>
  </r>
  <r>
    <s v="B0GF7M1X2N"/>
    <s v="GOBOULT Tenet TWS Earbuds with 75H Playtime, Amp App Support, Quad Mic ENC, Dual Device Pairing Buds, 13mm Driver Ear Buds, Bluetooth 5.4 Wireless Earbuds (Turbo Orange)"/>
    <x v="5"/>
    <n v="1499"/>
    <n v="5499"/>
    <n v="0.72699999999999998"/>
    <n v="4"/>
    <n v="971"/>
    <n v="1"/>
    <b v="0"/>
    <b v="0"/>
    <b v="0"/>
    <b v="0"/>
    <d v="2026-06-05T00:00:00"/>
    <n v="3884"/>
  </r>
  <r>
    <s v="B0FZ9YLWP1"/>
    <s v="Noise Newly Launched Buds Connect 3 Truly Wireless Earbuds with 40H of Playtime, Quad Mic with ENC, Low Latency, 10mm Driver, BT V5.4(Slate Black)"/>
    <x v="5"/>
    <n v="1499"/>
    <n v="3999"/>
    <n v="0.625"/>
    <n v="4"/>
    <n v="127"/>
    <n v="1"/>
    <b v="0"/>
    <b v="0"/>
    <b v="0"/>
    <b v="0"/>
    <d v="2026-06-05T00:00:00"/>
    <n v="508"/>
  </r>
  <r>
    <s v="B0G2S1MZRX"/>
    <s v="Boat 2026 Launch Nirvana Crown, Sonic ARC, LEDs, Haptic Feedback,50dB Hybrid ANC,Spatial Audio, 6 Mic ENx, App Support, v6.0 Bluetooth Earbuds, TWS Ear Buds Wireless Earphones with mic (Blazing Red)"/>
    <x v="5"/>
    <n v="2599"/>
    <n v="9990"/>
    <n v="0.74"/>
    <n v="3.7"/>
    <n v="543"/>
    <n v="1"/>
    <b v="0"/>
    <b v="0"/>
    <b v="0"/>
    <b v="0"/>
    <d v="2026-06-05T00:00:00"/>
    <n v="2009.1000000000001"/>
  </r>
  <r>
    <s v="B0CQJZD55X"/>
    <s v="Noise Buds N1 Truly Wireless Earbuds with Chrome Finish, 40H of Playtime, Quad Mic with ENC, Ultra Low Latency Gaming (Up to 40 Ms), Instacharge(10 Min=120 Min), Bluetooth V5.3(Ice Blue)"/>
    <x v="5"/>
    <n v="999"/>
    <n v="3499"/>
    <n v="0.71399999999999997"/>
    <n v="3.8"/>
    <n v="15622"/>
    <n v="1"/>
    <b v="0"/>
    <b v="0"/>
    <b v="0"/>
    <b v="0"/>
    <d v="2026-06-05T00:00:00"/>
    <n v="59363.6"/>
  </r>
  <r>
    <s v="B0D9K1TSMP"/>
    <s v="Sounce Earphone Case Cover for Boat Airdopes 800 TWS Soft Silicone Skin Case Cover Shock Absorbing Protective Case with Keychain [Front LED Visible] - Black"/>
    <x v="5"/>
    <n v="209"/>
    <n v="499"/>
    <n v="0.58099999999999996"/>
    <n v="4.0999999999999996"/>
    <n v="968"/>
    <n v="1"/>
    <b v="0"/>
    <b v="0"/>
    <b v="0"/>
    <b v="0"/>
    <d v="2026-06-05T00:00:00"/>
    <n v="3968.7999999999997"/>
  </r>
  <r>
    <s v="B0DN1RPL19"/>
    <s v="GOBOULT Mustang Torq Wireless in Ear Earbuds with 60H Playtime, App Support, Quad Mic ENC, 45ms Low Latency, 13mm Driver, Breathing LEDs, Made in India Ear Buds Wireless (Silver)"/>
    <x v="5"/>
    <n v="1799"/>
    <n v="5999"/>
    <n v="0.7"/>
    <n v="4"/>
    <n v="13588"/>
    <n v="1"/>
    <b v="0"/>
    <b v="0"/>
    <b v="0"/>
    <b v="0"/>
    <d v="2026-06-05T00:00:00"/>
    <n v="54352"/>
  </r>
  <r>
    <s v="B0FCM61QWL"/>
    <s v="VW 80 cm (32 inches) OptimaX Series HD Ready Smart QLED Android TV VW32AQ1"/>
    <x v="6"/>
    <n v="8999"/>
    <n v="18999"/>
    <n v="0.52600000000000002"/>
    <n v="3.8"/>
    <n v="3015"/>
    <n v="1"/>
    <b v="0"/>
    <b v="0"/>
    <b v="0"/>
    <b v="0"/>
    <d v="2026-06-05T00:00:00"/>
    <n v="11457"/>
  </r>
  <r>
    <s v="B0GX52LD7V"/>
    <s v="VW 109 cm (43 inches) Spectra Series Full HD Smart QLED Android TV VW43AQ3"/>
    <x v="6"/>
    <n v="14999"/>
    <n v="29999"/>
    <n v="0.5"/>
    <n v="4.2"/>
    <n v="15713"/>
    <n v="1"/>
    <b v="0"/>
    <b v="0"/>
    <b v="0"/>
    <b v="0"/>
    <d v="2026-06-05T00:00:00"/>
    <n v="65994.600000000006"/>
  </r>
  <r>
    <s v="B0F3JM1YP5"/>
    <s v="Xiaomi 80 cm (32 inch) F Series HD Ready Smart LED Fire TV L32MB-FIN"/>
    <x v="6"/>
    <n v="12999"/>
    <m/>
    <m/>
    <n v="4.2"/>
    <n v="914"/>
    <n v="1"/>
    <b v="0"/>
    <b v="0"/>
    <b v="0"/>
    <b v="0"/>
    <d v="2026-06-05T00:00:00"/>
    <n v="3838.8"/>
  </r>
  <r>
    <s v="B0F84DKX8K"/>
    <s v="Samsung 108 cm (43 inches) FHD Smart LED TV UA43F5550FUXXL"/>
    <x v="6"/>
    <n v="23990"/>
    <n v="27500"/>
    <n v="0.128"/>
    <n v="4.0999999999999996"/>
    <n v="5926"/>
    <n v="1"/>
    <b v="0"/>
    <b v="0"/>
    <b v="1"/>
    <b v="0"/>
    <d v="2026-06-05T00:00:00"/>
    <n v="24296.6"/>
  </r>
  <r>
    <s v="B0GJG3GKYD"/>
    <s v="Uniboom_Optima Series 60 cm (24 inch) HD Ready LED TV 2025 Edition with 30W Sonic Boom - True Frameless - Aura Vision+ Display - (Non Smart)- 24N-ULT-AED"/>
    <x v="6"/>
    <n v="5490"/>
    <n v="20990"/>
    <n v="0.73799999999999999"/>
    <n v="4.0999999999999996"/>
    <n v="157"/>
    <n v="1"/>
    <b v="0"/>
    <b v="0"/>
    <b v="0"/>
    <b v="0"/>
    <d v="2026-06-05T00:00:00"/>
    <n v="643.69999999999993"/>
  </r>
  <r>
    <s v="B0F222LP9Y"/>
    <s v="Kodak QLED SE 100 cm (40 inch) QLED Full HD Smart Linux TV 2025 Edition (40QSE5009)"/>
    <x v="6"/>
    <n v="13999"/>
    <n v="25999"/>
    <n v="0.46200000000000002"/>
    <n v="3.8"/>
    <n v="3020"/>
    <n v="1"/>
    <b v="0"/>
    <b v="0"/>
    <b v="0"/>
    <b v="0"/>
    <d v="2026-06-05T00:00:00"/>
    <n v="11476"/>
  </r>
  <r>
    <s v="B0DZHRYFG7"/>
    <s v="TCL 101 cms (40 inches) V5C Series Full HD Smart QLED TV Google TV 40V5C"/>
    <x v="6"/>
    <n v="20990"/>
    <n v="35990"/>
    <n v="0.41699999999999998"/>
    <n v="4"/>
    <n v="2226"/>
    <n v="1"/>
    <b v="0"/>
    <b v="0"/>
    <b v="0"/>
    <b v="0"/>
    <d v="2026-06-05T00:00:00"/>
    <n v="8904"/>
  </r>
  <r>
    <s v="B0DBZGXXP7"/>
    <s v="Foxsky 139 cm (55 inch) Frameless Series QLED 4K Ultra HD LED Smart TV FS55GATV (Black)"/>
    <x v="6"/>
    <n v="25299"/>
    <n v="98990"/>
    <n v="0.74399999999999999"/>
    <n v="3.6"/>
    <n v="109"/>
    <n v="1"/>
    <b v="0"/>
    <b v="0"/>
    <b v="0"/>
    <b v="0"/>
    <d v="2026-06-05T00:00:00"/>
    <n v="392.40000000000003"/>
  </r>
  <r>
    <s v="B0FBW5S6H2"/>
    <s v="Philips 108 cm (43 inches) 6100 Series Frameless Full HD Smart LED Google TV 43PFT6130/94"/>
    <x v="6"/>
    <n v="22999"/>
    <n v="34999"/>
    <n v="0.34300000000000003"/>
    <n v="4.2"/>
    <n v="739"/>
    <n v="1"/>
    <b v="0"/>
    <b v="0"/>
    <b v="0"/>
    <b v="0"/>
    <d v="2026-06-05T00:00:00"/>
    <n v="3103.8"/>
  </r>
  <r>
    <s v="B07MNNH484"/>
    <s v="VW 80 cm (32 inches) Frameless Series HD Ready Android Smart LED TV VW32S"/>
    <x v="6"/>
    <n v="8499"/>
    <n v="16999"/>
    <n v="0.5"/>
    <n v="3.6"/>
    <n v="6823"/>
    <n v="1"/>
    <b v="0"/>
    <b v="0"/>
    <b v="0"/>
    <b v="0"/>
    <d v="2026-06-05T00:00:00"/>
    <n v="24562.799999999999"/>
  </r>
  <r>
    <s v="B0DFYBF423"/>
    <s v="Blaupunkt 80 cm (32 inches) Quantum Dot Series QLED Google Android TV 32QD7080"/>
    <x v="6"/>
    <n v="10999"/>
    <n v="22999"/>
    <n v="0.52200000000000002"/>
    <n v="3.9"/>
    <n v="1431"/>
    <n v="1"/>
    <b v="0"/>
    <b v="0"/>
    <b v="0"/>
    <b v="0"/>
    <d v="2026-06-05T00:00:00"/>
    <n v="5580.9"/>
  </r>
  <r>
    <s v="B0FDQRTXBC"/>
    <s v="Philips 165 cm (65 inches) 8100 Series 4K Ultra HD Smart QLED Google TV 65PQT8100/94"/>
    <x v="6"/>
    <n v="55999"/>
    <n v="64990"/>
    <n v="0.13800000000000001"/>
    <n v="4.2"/>
    <n v="1429"/>
    <n v="1"/>
    <b v="0"/>
    <b v="0"/>
    <b v="0"/>
    <b v="0"/>
    <d v="2026-06-05T00:00:00"/>
    <n v="6001.8"/>
  </r>
  <r>
    <s v="B0G2CG8XQX"/>
    <s v="coocaa 164 cm (65 inches) 4K Ultra HD Smart Mini LED QLED Google TV 65MINI75Q"/>
    <x v="6"/>
    <n v="45999"/>
    <n v="79999"/>
    <n v="0.42499999999999999"/>
    <n v="4.3"/>
    <n v="76"/>
    <n v="1"/>
    <b v="0"/>
    <b v="0"/>
    <b v="0"/>
    <b v="0"/>
    <d v="2026-06-05T00:00:00"/>
    <n v="326.8"/>
  </r>
  <r>
    <s v="B0F6ZCRGG5"/>
    <s v="Xiaomi 108 cm (43 inch) A Full HD Smart Google LED TV L43MB-AFIN"/>
    <x v="6"/>
    <n v="21999"/>
    <n v="30999"/>
    <n v="0.28999999999999998"/>
    <n v="4.0999999999999996"/>
    <n v="426"/>
    <n v="1"/>
    <b v="0"/>
    <b v="0"/>
    <b v="0"/>
    <b v="0"/>
    <d v="2026-06-05T00:00:00"/>
    <n v="1746.6"/>
  </r>
  <r>
    <s v="B0GJGCNL3B"/>
    <s v="Uniboom_Optima Series102 cm (40 inch)HD Smart LED TV | Android TV with Voice Command App |5000+ Free Movies |30W Sonic Boom Speakers| 500+ Certified Apps |Mobile Remote |Mobile Screen Cast 40S-ULT-AED"/>
    <x v="6"/>
    <m/>
    <m/>
    <m/>
    <n v="4.4000000000000004"/>
    <n v="10"/>
    <n v="1"/>
    <b v="0"/>
    <b v="0"/>
    <b v="0"/>
    <b v="0"/>
    <d v="2026-06-05T00:00:00"/>
    <n v="44"/>
  </r>
  <r>
    <s v="B0GQC14DKQ"/>
    <s v="Onida 108 cm (43 inch) QLED Ultra HD 4K Smart Fire TV Q43UFD"/>
    <x v="6"/>
    <n v="24499"/>
    <n v="41490"/>
    <n v="0.41"/>
    <n v="4.5"/>
    <n v="13"/>
    <n v="1"/>
    <b v="0"/>
    <b v="0"/>
    <b v="0"/>
    <b v="0"/>
    <d v="2026-06-05T00:00:00"/>
    <n v="58.5"/>
  </r>
  <r>
    <s v="B0F2J6QCJB"/>
    <s v="TCL 189 cm (75 inches) Metallic Bezel Less Series 4K Ultra HD Smart LED Google TV 75V6C (Black)"/>
    <x v="6"/>
    <n v="66990"/>
    <n v="199990"/>
    <n v="0.66500000000000004"/>
    <n v="4.0999999999999996"/>
    <n v="892"/>
    <n v="1"/>
    <b v="0"/>
    <b v="0"/>
    <b v="0"/>
    <b v="0"/>
    <d v="2026-06-05T00:00:00"/>
    <n v="3657.2"/>
  </r>
  <r>
    <s v="B0GK9D99SG"/>
    <s v="VW 127 cm (50 inches) Pro Series 4K Ultra HD Smart QLED Google TV VW50GQ2"/>
    <x v="6"/>
    <n v="25999"/>
    <n v="99999"/>
    <n v="0.74"/>
    <n v="4.4000000000000004"/>
    <n v="331"/>
    <n v="1"/>
    <b v="0"/>
    <b v="0"/>
    <b v="0"/>
    <b v="0"/>
    <d v="2026-06-05T00:00:00"/>
    <n v="1456.4"/>
  </r>
  <r>
    <s v="B0DR2Q2R44"/>
    <s v="VW 80 cm (32 inches) Pro Series HD Ready Smart QLED Google TV VW32GQ1"/>
    <x v="6"/>
    <n v="9999"/>
    <n v="22999"/>
    <n v="0.56499999999999995"/>
    <n v="4.0999999999999996"/>
    <n v="1082"/>
    <n v="1"/>
    <b v="0"/>
    <b v="0"/>
    <b v="0"/>
    <b v="0"/>
    <d v="2026-06-05T00:00:00"/>
    <n v="4436.2"/>
  </r>
  <r>
    <s v="B0F43CHDSN"/>
    <s v="Samsung 138 cm (55 inches) Vision AI 4K Ultra HD Smart QLED TV QA55QEF1AULXL"/>
    <x v="6"/>
    <n v="43990"/>
    <n v="75500"/>
    <n v="0.41699999999999998"/>
    <n v="4"/>
    <n v="1272"/>
    <n v="1"/>
    <b v="0"/>
    <b v="0"/>
    <b v="0"/>
    <b v="0"/>
    <d v="2026-06-05T00:00:00"/>
    <n v="5088"/>
  </r>
  <r>
    <s v="B0F437CWLS"/>
    <s v="Samsung 125 cm (50 inches) Crystal 4K Vista Ultra HD Smart LED TV UA50UE81AFULXL"/>
    <x v="6"/>
    <n v="38990"/>
    <n v="50600"/>
    <n v="0.22900000000000001"/>
    <n v="4"/>
    <n v="636"/>
    <n v="1"/>
    <b v="0"/>
    <b v="0"/>
    <b v="0"/>
    <b v="0"/>
    <d v="2026-06-05T00:00:00"/>
    <n v="2544"/>
  </r>
  <r>
    <s v="B0CVV489CY"/>
    <s v="80 cm (32 inches) Glow Series HD Ready Smart QLED Android TV BAZ32S (Black)"/>
    <x v="6"/>
    <n v="9999"/>
    <n v="55290"/>
    <n v="0.81899999999999995"/>
    <n v="3.3"/>
    <n v="51"/>
    <n v="1"/>
    <b v="0"/>
    <b v="0"/>
    <b v="0"/>
    <b v="0"/>
    <d v="2026-06-05T00:00:00"/>
    <n v="168.29999999999998"/>
  </r>
  <r>
    <s v="B0G6LTHMLF"/>
    <s v="Philips 138 cm (55 inches) 4K Ultra HD QLED Smart QD-Mini LED Google TV 55MLED610/94"/>
    <x v="6"/>
    <n v="45999"/>
    <n v="84999"/>
    <n v="0.45900000000000002"/>
    <n v="4.4000000000000004"/>
    <n v="164"/>
    <n v="1"/>
    <b v="0"/>
    <b v="0"/>
    <b v="0"/>
    <b v="0"/>
    <d v="2026-06-05T00:00:00"/>
    <n v="721.6"/>
  </r>
  <r>
    <s v="B0FDW7819M"/>
    <s v="Acer 127 cm (50 inches) Ultra I Series 4K Ultra HD Smart LED Google TV AR50UDGGU2875BD"/>
    <x v="6"/>
    <n v="24999"/>
    <n v="63999"/>
    <n v="0.60899999999999999"/>
    <n v="3.3"/>
    <n v="208"/>
    <n v="1"/>
    <b v="0"/>
    <b v="0"/>
    <b v="0"/>
    <b v="0"/>
    <d v="2026-06-05T00:00:00"/>
    <n v="686.4"/>
  </r>
  <r>
    <s v="B0H116Z7DT"/>
    <s v="24â€INCH HD Ready Android Smart LED TV | WiFi Enabled | Built-in Apps Compatible (YouTube, Netflix, Prime Video) | Screen Mirroring | HDMI, USB Connectivity | Premium Slim &amp;amp; Stylish Design Black"/>
    <x v="6"/>
    <n v="6999"/>
    <n v="12999"/>
    <n v="0.46200000000000002"/>
    <n v="4"/>
    <n v="3"/>
    <n v="1"/>
    <b v="0"/>
    <b v="0"/>
    <b v="0"/>
    <b v="0"/>
    <d v="2026-06-05T00:00:00"/>
    <n v="12"/>
  </r>
  <r>
    <s v="B0FBS91DQF"/>
    <s v="Vu 164cm (65 inches) Vibe Series 4K QLED Smart Google TV 65VIBE-DV"/>
    <x v="6"/>
    <n v="49990"/>
    <n v="80000"/>
    <n v="0.375"/>
    <n v="4.3"/>
    <n v="1791"/>
    <n v="1"/>
    <b v="0"/>
    <b v="0"/>
    <b v="0"/>
    <b v="0"/>
    <d v="2026-06-05T00:00:00"/>
    <n v="7701.2999999999993"/>
  </r>
  <r>
    <s v="B0F38M36TN"/>
    <s v="TCL 139 cm (55 inches) 4K Ultra HD Smart QLED Google TV 55T8C"/>
    <x v="6"/>
    <n v="42990"/>
    <n v="109990"/>
    <n v="0.60899999999999999"/>
    <n v="4.0999999999999996"/>
    <n v="1188"/>
    <n v="1"/>
    <b v="0"/>
    <b v="0"/>
    <b v="0"/>
    <b v="0"/>
    <d v="2026-06-05T00:00:00"/>
    <n v="4870.7999999999993"/>
  </r>
  <r>
    <s v="B0F6YVKDR2"/>
    <s v="Xiaomi 138 cm (55 inch) X Ultra HD 4K Smart Google LED TV L55MB-AIN"/>
    <x v="6"/>
    <n v="36999"/>
    <n v="48999"/>
    <n v="0.245"/>
    <n v="4.0999999999999996"/>
    <n v="4466"/>
    <n v="1"/>
    <b v="0"/>
    <b v="0"/>
    <b v="0"/>
    <b v="0"/>
    <d v="2026-06-05T00:00:00"/>
    <n v="18310.599999999999"/>
  </r>
  <r>
    <s v="B0DH8984MM"/>
    <s v="Vu 139cm (55 inches) Masterpiece Frame Series 4K QLED TV 55MASTERPIECE (Armani Gold)"/>
    <x v="6"/>
    <n v="49990"/>
    <n v="65000"/>
    <n v="0.23100000000000001"/>
    <n v="4.4000000000000004"/>
    <n v="607"/>
    <n v="1"/>
    <b v="0"/>
    <b v="0"/>
    <b v="0"/>
    <b v="0"/>
    <d v="2026-06-05T00:00:00"/>
    <n v="2670.8"/>
  </r>
  <r>
    <s v="B0F3HZP9XR"/>
    <s v="TCL 189 cm (75 inches) 4K UHD Smart QD-Mini LED Google TV 75Q6C"/>
    <x v="6"/>
    <n v="99990"/>
    <n v="299990"/>
    <n v="0.66700000000000004"/>
    <n v="4.0999999999999996"/>
    <n v="1318"/>
    <n v="1"/>
    <b v="0"/>
    <b v="0"/>
    <b v="0"/>
    <b v="0"/>
    <d v="2026-06-05T00:00:00"/>
    <n v="5403.7999999999993"/>
  </r>
  <r>
    <s v="B0C6F23XP1"/>
    <s v="Hisense 305 cm (120 inches) Trichrom ALR Screen Series 4K Ultra HD Smart Laser TV 120L9HE (Black)"/>
    <x v="6"/>
    <n v="499999"/>
    <m/>
    <m/>
    <n v="3.6"/>
    <n v="18"/>
    <n v="1"/>
    <b v="0"/>
    <b v="0"/>
    <b v="0"/>
    <b v="0"/>
    <d v="2026-06-05T00:00:00"/>
    <n v="64.8"/>
  </r>
  <r>
    <s v="B0DZHMX6D3"/>
    <s v="TCL 80 cms (32 inches) V4C Series HD Ready Smart QLED Google TV 32V4C"/>
    <x v="6"/>
    <n v="14990"/>
    <n v="20490"/>
    <n v="0.26800000000000002"/>
    <n v="4.2"/>
    <n v="360"/>
    <n v="1"/>
    <b v="0"/>
    <b v="0"/>
    <b v="0"/>
    <b v="0"/>
    <d v="2026-06-05T00:00:00"/>
    <n v="1512"/>
  </r>
  <r>
    <s v="B0GTL292WP"/>
    <s v="Xiaomi 165 cm (65 inches) 4K UHD Smart Quantum MagiQ S Mini LED Google TV L65MC-IN"/>
    <x v="6"/>
    <n v="71999"/>
    <n v="119999"/>
    <n v="0.4"/>
    <n v="4.2"/>
    <n v="50"/>
    <n v="1"/>
    <b v="0"/>
    <b v="0"/>
    <b v="0"/>
    <b v="0"/>
    <d v="2026-06-05T00:00:00"/>
    <n v="210"/>
  </r>
  <r>
    <s v="B0GTZ8M66Y"/>
    <s v="LG 126 cms (50 inches) NU87 AI Series Nano 4K Ultra HD Smart webOS VA LED TV 50NU870BPLA"/>
    <x v="6"/>
    <n v="39999"/>
    <n v="65990"/>
    <n v="0.39400000000000002"/>
    <n v="4"/>
    <n v="9025"/>
    <n v="1"/>
    <b v="0"/>
    <b v="0"/>
    <b v="0"/>
    <b v="0"/>
    <d v="2026-06-05T00:00:00"/>
    <n v="36100"/>
  </r>
  <r>
    <s v="B09Y66SYY2"/>
    <s v="Samsung 214 cm (85 inches) 4K Ultra HD Smart QLED TV QA85Q60BAKXXL (Black)"/>
    <x v="6"/>
    <n v="471990"/>
    <n v="691300"/>
    <n v="0.317"/>
    <m/>
    <n v="0"/>
    <n v="1"/>
    <b v="0"/>
    <b v="0"/>
    <b v="0"/>
    <b v="0"/>
    <d v="2026-06-05T00:00:00"/>
    <s v=""/>
  </r>
  <r>
    <s v="B0FG37BH6L"/>
    <s v="Vu 164cm (65 inches) GloQLED Series 4K QLED Smart Google TV 65GLOQLED25"/>
    <x v="6"/>
    <n v="47999"/>
    <n v="70000"/>
    <n v="0.314"/>
    <n v="4.3"/>
    <n v="620"/>
    <n v="1"/>
    <b v="0"/>
    <b v="0"/>
    <b v="0"/>
    <b v="0"/>
    <d v="2026-06-05T00:00:00"/>
    <n v="2666"/>
  </r>
  <r>
    <s v="B0FBM79V24"/>
    <s v="Onida 80 cm (32 inch) Smart Genius Series HD Ready Smart LED TV 32AHI"/>
    <x v="6"/>
    <n v="10499"/>
    <n v="19990"/>
    <n v="0.47499999999999998"/>
    <n v="3.4"/>
    <n v="145"/>
    <n v="1"/>
    <b v="0"/>
    <b v="0"/>
    <b v="0"/>
    <b v="0"/>
    <d v="2026-06-05T00:00:00"/>
    <n v="493"/>
  </r>
  <r>
    <s v="B0F3JL3MSL"/>
    <s v="TCL 248 cm (98 inches) 4K Ultra HD Smart QLED Google TV 98P8K"/>
    <x v="6"/>
    <n v="229990"/>
    <n v="699990"/>
    <n v="0.67100000000000004"/>
    <n v="5"/>
    <n v="1"/>
    <n v="1"/>
    <b v="0"/>
    <b v="0"/>
    <b v="0"/>
    <b v="0"/>
    <d v="2026-06-05T00:00:00"/>
    <n v="5"/>
  </r>
  <r>
    <s v="B0FB35J4B6"/>
    <s v="LG 126 cm (50 inches) UA82 AI Series 4K Ultra HD (3840 x 2160) Smart webOS LED TV 50UA82006LA"/>
    <x v="6"/>
    <m/>
    <m/>
    <m/>
    <n v="4"/>
    <n v="9025"/>
    <n v="1"/>
    <b v="0"/>
    <b v="0"/>
    <b v="0"/>
    <b v="0"/>
    <d v="2026-06-05T00:00:00"/>
    <n v="36100"/>
  </r>
  <r>
    <s v="B0DS18SHTL"/>
    <s v="JVC 190 cm (75 inches) AI Vision Series QLED Google TV LT-75NQ7165C (Black)"/>
    <x v="6"/>
    <n v="90499"/>
    <n v="119999"/>
    <n v="0.246"/>
    <n v="3.5"/>
    <n v="334"/>
    <n v="1"/>
    <b v="0"/>
    <b v="0"/>
    <b v="0"/>
    <b v="0"/>
    <d v="2026-06-05T00:00:00"/>
    <n v="1169"/>
  </r>
  <r>
    <s v="B0GY3TLT1X"/>
    <s v="Sony 215 cm (85 inches) BRAVIA 3II Ultra HD Smart LED Google TV K-85XR35M"/>
    <x v="6"/>
    <n v="294490"/>
    <n v="499900"/>
    <n v="0.41099999999999998"/>
    <m/>
    <n v="0"/>
    <n v="1"/>
    <b v="0"/>
    <b v="0"/>
    <b v="0"/>
    <b v="0"/>
    <d v="2026-06-05T00:00:00"/>
    <s v=""/>
  </r>
  <r>
    <s v="B0F7X88XC1"/>
    <s v="Sony 189 cm (75 inches) BRAVIA 2M2 Series 4K Ultra HD Smart LED Google TV K-75S25BM2"/>
    <x v="6"/>
    <n v="123990"/>
    <n v="239900"/>
    <n v="0.48299999999999998"/>
    <n v="4.5999999999999996"/>
    <n v="1351"/>
    <n v="1"/>
    <b v="0"/>
    <b v="0"/>
    <b v="0"/>
    <b v="0"/>
    <d v="2026-06-05T00:00:00"/>
    <n v="6214.5999999999995"/>
  </r>
  <r>
    <s v="B0GK9NHCL2"/>
    <s v="VW 165 cm (65 inches) Pro Series 4K Ultra HD Smart QLED Google TV VW65GQ2"/>
    <x v="6"/>
    <n v="40999"/>
    <n v="149999"/>
    <n v="0.72699999999999998"/>
    <n v="1"/>
    <n v="1"/>
    <n v="1"/>
    <b v="0"/>
    <b v="0"/>
    <b v="0"/>
    <b v="0"/>
    <d v="2026-06-05T00:00:00"/>
    <n v="1"/>
  </r>
  <r>
    <s v="B09Y65HV6N"/>
    <s v="Samsung 214 cm (85 inches) 4K Ultra HD Smart Neo QLED TV QA85QN90BAKXXL (Titan Black)"/>
    <x v="6"/>
    <n v="471990"/>
    <n v="879900"/>
    <n v="0.46400000000000002"/>
    <n v="3.6"/>
    <n v="36"/>
    <n v="1"/>
    <b v="0"/>
    <b v="0"/>
    <b v="0"/>
    <b v="0"/>
    <d v="2026-06-05T00:00:00"/>
    <n v="129.6"/>
  </r>
  <r>
    <s v="B0FWK7W9L7"/>
    <s v="coocaa 138 cm (55 inch) Frameless UHD 4K Smart Google TV 55Y74"/>
    <x v="6"/>
    <m/>
    <m/>
    <m/>
    <n v="4.5999999999999996"/>
    <n v="52"/>
    <n v="1"/>
    <b v="0"/>
    <b v="0"/>
    <b v="0"/>
    <b v="0"/>
    <d v="2026-06-05T00:00:00"/>
    <n v="239.2"/>
  </r>
  <r>
    <s v="B0F397D2S6"/>
    <s v="Lumio Vision 7 127 cm (50 inches) 4K Ultra-HD Smart QLED Google TV FTW2-ADSG"/>
    <x v="6"/>
    <n v="32999"/>
    <n v="58999"/>
    <n v="0.441"/>
    <n v="4.2"/>
    <n v="1354"/>
    <n v="1"/>
    <b v="0"/>
    <b v="0"/>
    <b v="0"/>
    <b v="0"/>
    <d v="2026-06-05T00:00:00"/>
    <n v="5686.8"/>
  </r>
  <r>
    <s v="B0GKP162R2"/>
    <s v="LG 217 cm (86 Inches) Nano 85A Series 4K UHD Smart TV 86NANO85A6A"/>
    <x v="6"/>
    <n v="179990"/>
    <n v="399990"/>
    <n v="0.55000000000000004"/>
    <n v="1"/>
    <n v="1"/>
    <n v="1"/>
    <b v="0"/>
    <b v="0"/>
    <b v="0"/>
    <b v="0"/>
    <d v="2026-06-05T00:00:00"/>
    <n v="1"/>
  </r>
  <r>
    <s v="B0G6FBF6P6"/>
    <s v="Haier 80cm (32) W4G Series HD Ready Smart Google TV 32W4G"/>
    <x v="6"/>
    <n v="15499"/>
    <n v="19990"/>
    <n v="0.22500000000000001"/>
    <n v="5"/>
    <n v="1"/>
    <n v="1"/>
    <b v="0"/>
    <b v="0"/>
    <b v="0"/>
    <b v="0"/>
    <d v="2026-06-05T00:00:00"/>
    <n v="5"/>
  </r>
  <r>
    <s v="B0GP77PM6B"/>
    <s v="Haier 165 L 1 Star Direct Cool Single Door Refrigerator with Diamond Edge Freezing Technology, Easy Clean Back, Large Vegetable Box (HED-171MSA-P, Moon Silver, 2026 Model)"/>
    <x v="7"/>
    <n v="11490"/>
    <n v="16590"/>
    <n v="0.307"/>
    <n v="3.9"/>
    <n v="150"/>
    <n v="1"/>
    <b v="0"/>
    <b v="0"/>
    <b v="0"/>
    <b v="0"/>
    <d v="2026-06-05T00:00:00"/>
    <n v="585"/>
  </r>
  <r>
    <s v="B0GGQLB35C"/>
    <s v="Whirlpool 184 L 2 Star Direct-Cool Single Door Refrigerator (205 WDE CLS 2S SAPPHIRE BLUE-Y, Blue, 2026 Model)"/>
    <x v="7"/>
    <n v="13640"/>
    <n v="17750"/>
    <n v="0.23200000000000001"/>
    <n v="3.8"/>
    <n v="104"/>
    <n v="1"/>
    <b v="0"/>
    <b v="0"/>
    <b v="0"/>
    <b v="0"/>
    <d v="2026-06-05T00:00:00"/>
    <n v="395.2"/>
  </r>
  <r>
    <s v="B0GXJ9LTJ1"/>
    <s v="Godrej 180 L 2 Star| 5 Years Comprehensive Warranty | Toughened Glass Shelves | Single Door Refrigerator (2026 Model, RD EDGE 205BN THF PP BL, Pep Blue)"/>
    <x v="7"/>
    <n v="13190"/>
    <n v="17500"/>
    <n v="0.246"/>
    <n v="4.0999999999999996"/>
    <n v="6"/>
    <n v="1"/>
    <b v="0"/>
    <b v="0"/>
    <b v="0"/>
    <b v="0"/>
    <d v="2026-06-05T00:00:00"/>
    <n v="24.599999999999998"/>
  </r>
  <r>
    <s v="B0GSQ8N5LZ"/>
    <s v="Voltas Beko, A Tata Product 183 L, 2-Star Single Door Direct Cool Refrigerator with Fresh Box Technology (RDC215C / 2S0XER0M0000GO, Hairline Blue)"/>
    <x v="7"/>
    <n v="12710"/>
    <n v="27990"/>
    <n v="0.54600000000000004"/>
    <n v="4.2"/>
    <n v="178"/>
    <n v="1"/>
    <b v="0"/>
    <b v="0"/>
    <b v="0"/>
    <b v="0"/>
    <d v="2026-06-05T00:00:00"/>
    <n v="747.6"/>
  </r>
  <r>
    <s v="B0G8JTHH46"/>
    <s v="Samsung 189 L, 5 Star, Digital Inverter, Direct-Cool Single Door Refrigerator (RR21H2H25RZ/HL, Midnight Blossom Red, Base Stand Drawer, Single Touch Defrost, 2026 Model)"/>
    <x v="7"/>
    <n v="18990"/>
    <n v="23999"/>
    <n v="0.20899999999999999"/>
    <n v="4.2"/>
    <n v="1120"/>
    <n v="1"/>
    <b v="0"/>
    <b v="0"/>
    <b v="1"/>
    <b v="0"/>
    <d v="2026-06-05T00:00:00"/>
    <n v="4704"/>
  </r>
  <r>
    <s v="B0G8J8SKTH"/>
    <s v="Samsung 189 L, 5 Star, Digital Inverter, Direct-Cool Single Door Refrigerator (RR21H2H25CU/HL, Camellia Blue, Base Stand Drawer, Single Touch Defrost, 2026 Model)"/>
    <x v="7"/>
    <n v="18990"/>
    <n v="23999"/>
    <n v="0.20899999999999999"/>
    <n v="4.3"/>
    <n v="1803"/>
    <n v="1"/>
    <b v="0"/>
    <b v="0"/>
    <b v="0"/>
    <b v="0"/>
    <d v="2026-06-05T00:00:00"/>
    <n v="7752.9"/>
  </r>
  <r>
    <s v="B0GP6ZGNWT"/>
    <s v="Haier 190 L 4 Star Direct Cool Single Door Refrigerator with Fast Ice Making, Easy Clean Back, Large Vegetable Box (HED-204TMIBA-N, Marine Ivy, Base Stand Drawer, 2026 Model)"/>
    <x v="7"/>
    <n v="15990"/>
    <n v="25590"/>
    <n v="0.375"/>
    <n v="4"/>
    <n v="69"/>
    <n v="1"/>
    <b v="0"/>
    <b v="0"/>
    <b v="0"/>
    <b v="0"/>
    <d v="2026-06-05T00:00:00"/>
    <n v="276"/>
  </r>
  <r>
    <s v="B0GSFN886B"/>
    <s v="Godrej 185 L 4 Star Rating| 5 Years Comprehensive Warranty | Toughened Glass Shelves | 24 Day Farm Freshness| Jumbo Vegetable Tray | Single Door Refrigerator (RD 195DN TAI MN BL, Marine Blue)"/>
    <x v="7"/>
    <n v="15690"/>
    <n v="52190"/>
    <n v="0.69899999999999995"/>
    <n v="4.0999999999999996"/>
    <n v="295"/>
    <n v="1"/>
    <b v="0"/>
    <b v="0"/>
    <b v="0"/>
    <b v="0"/>
    <d v="2026-06-05T00:00:00"/>
    <n v="1209.5"/>
  </r>
  <r>
    <s v="B0G8JR8VNZ"/>
    <s v="Samsung 183 L, 4 Star, Digital Inverter, Direct-Cool Single Door Refrigerator (RR20H28249U/NL, Paradise Bloom Blue, Base Stand Drawer, Single Touch Defrost, 2026 Model)"/>
    <x v="7"/>
    <n v="17590"/>
    <n v="21999"/>
    <n v="0.2"/>
    <n v="4.3"/>
    <n v="4470"/>
    <n v="1"/>
    <b v="0"/>
    <b v="0"/>
    <b v="0"/>
    <b v="0"/>
    <d v="2026-06-05T00:00:00"/>
    <n v="19221"/>
  </r>
  <r>
    <s v="B0GS5R57KY"/>
    <s v="Godrej 183 L 3 Star 5 Years Comprehensive New Launch | Toughened Glass Shelves | 24 Day Farm Freshness | Jumbo Vegetable Tray | Single Door Refrigerator (RD R190CN THF FR BL, Floral Blue)"/>
    <x v="7"/>
    <n v="14490"/>
    <n v="22090"/>
    <n v="0.34399999999999997"/>
    <n v="3.6"/>
    <n v="44"/>
    <n v="1"/>
    <b v="0"/>
    <b v="0"/>
    <b v="0"/>
    <b v="0"/>
    <d v="2026-06-05T00:00:00"/>
    <n v="158.4"/>
  </r>
  <r>
    <s v="B0GP6PFXPS"/>
    <s v="Haier 100 L 2 Star Direct Cool Single Door Mini Bar Refrigerator with Chiller Freezer Box, LED Light for Clear View, Lock &amp;amp; Key and Easy Clean Back (HRD-1252KSA, Black Steel, 2026 Model)"/>
    <x v="7"/>
    <n v="10490"/>
    <m/>
    <m/>
    <n v="3.9"/>
    <n v="451"/>
    <n v="2"/>
    <b v="0"/>
    <b v="0"/>
    <b v="0"/>
    <b v="0"/>
    <d v="2026-06-05T00:00:00"/>
    <n v="1758.8999999999999"/>
  </r>
  <r>
    <s v="B0G8JHZJJQ"/>
    <s v="Samsung 183 L, 4 Star, Digital Inverter, Direct-Cool Single Door Refrigerator (RR20H27249R/NL, Paradise Bloom Purple, Single Touch Defrost, 2026 Model)"/>
    <x v="7"/>
    <n v="16790"/>
    <n v="20999"/>
    <n v="0.2"/>
    <n v="4.0999999999999996"/>
    <n v="436"/>
    <n v="1"/>
    <b v="0"/>
    <b v="0"/>
    <b v="0"/>
    <b v="0"/>
    <d v="2026-06-05T00:00:00"/>
    <n v="1787.6"/>
  </r>
  <r>
    <s v="B0DK9DSC82"/>
    <s v="Voltas Beko, A Tata Product 472 L Side by Side Frost Free Refrigerator with ProSmart Inverter Compressor (RSB495/FPV300RXID, INOX steel, Electronic Temperature Control and Display)"/>
    <x v="7"/>
    <n v="49990"/>
    <n v="84490"/>
    <n v="0.40799999999999997"/>
    <n v="4.0999999999999996"/>
    <n v="111"/>
    <n v="1"/>
    <b v="0"/>
    <b v="0"/>
    <b v="0"/>
    <b v="0"/>
    <d v="2026-06-05T00:00:00"/>
    <n v="455.09999999999997"/>
  </r>
  <r>
    <s v="B0G8JL17DP"/>
    <s v="Samsung 189 L, 5 Star, Digital Inverter, Direct-Cool Single Door Refrigerator (RR21H2H25WB/HL, Wild Lily Blue, Base Stand Drawer, Single Touch Defrost, 2026 Model)"/>
    <x v="7"/>
    <n v="18990"/>
    <n v="23999"/>
    <n v="0.20899999999999999"/>
    <n v="4.4000000000000004"/>
    <n v="2342"/>
    <n v="1"/>
    <b v="0"/>
    <b v="0"/>
    <b v="0"/>
    <b v="0"/>
    <d v="2026-06-05T00:00:00"/>
    <n v="10304.800000000001"/>
  </r>
  <r>
    <s v="B0GP6PSRT2"/>
    <s v="Haier 190 L 5 Star Direct Cool Inverter Single Door Refrigerator with Fast Ice Making, Easy Clean Back, Large Vegetable Box (HED-205DSA-P, Dazzle Steel, 2026 Model)"/>
    <x v="7"/>
    <n v="15990"/>
    <n v="25790"/>
    <n v="0.38"/>
    <n v="4"/>
    <n v="2525"/>
    <n v="1"/>
    <b v="0"/>
    <b v="0"/>
    <b v="0"/>
    <b v="0"/>
    <d v="2026-06-05T00:00:00"/>
    <n v="10100"/>
  </r>
  <r>
    <s v="B0D222PDZ3"/>
    <s v="Whirlpool 235 L Frost Free Triple-Door Refrigerator | Zeolite Technology | Microblock Technology(FP 253D PROTTON ROY RADIANT STEEL(Z), Up to 44% Reduction in Cold Air Loss*]"/>
    <x v="7"/>
    <n v="29390"/>
    <n v="36000"/>
    <n v="0.184"/>
    <n v="3.9"/>
    <n v="11824"/>
    <n v="2"/>
    <b v="0"/>
    <b v="0"/>
    <b v="0"/>
    <b v="0"/>
    <d v="2026-06-05T00:00:00"/>
    <n v="46113.599999999999"/>
  </r>
  <r>
    <s v="B0GS1X1ZVD"/>
    <s v="Haier 190 L 5 Star Direct Cool Inverter Single Door Refrigerator with Fast Ice Making, Easy Clean Back, Large Vegetable Box (HED-205TMIBA-N, Marine Ivy, Base Stand Drawer, 2026 Model)"/>
    <x v="7"/>
    <n v="17190"/>
    <n v="27290"/>
    <n v="0.37"/>
    <n v="4.0999999999999996"/>
    <n v="707"/>
    <n v="1"/>
    <b v="0"/>
    <b v="0"/>
    <b v="0"/>
    <b v="0"/>
    <d v="2026-06-05T00:00:00"/>
    <n v="2898.7"/>
  </r>
  <r>
    <s v="B0GGQR1722"/>
    <s v="Whirlpool 192 L 4 Star Icemagic Powercool Direct-Cool Single Door Refrigerator with Base Drawer (215 IMPC ROY 4S SAPPHIRE PEONY-Y, Blue, 2026 Model)"/>
    <x v="7"/>
    <n v="17590"/>
    <n v="21750"/>
    <n v="0.191"/>
    <n v="3.9"/>
    <n v="50"/>
    <n v="1"/>
    <b v="0"/>
    <b v="0"/>
    <b v="0"/>
    <b v="0"/>
    <d v="2026-06-05T00:00:00"/>
    <n v="195"/>
  </r>
  <r>
    <s v="B0CW5WNPTM"/>
    <s v="Haier 185L 2 Star Direct Cool Single Door Refrigerator | Toughened Glass Shelves | Large Veg Box | Fast Ice Making | Longer Cooling Retention | Easy Clean Back (HED-19TMS-N, Moon Silver)"/>
    <x v="7"/>
    <n v="11990"/>
    <m/>
    <m/>
    <n v="4.3"/>
    <n v="957"/>
    <n v="1"/>
    <b v="0"/>
    <b v="0"/>
    <b v="0"/>
    <b v="0"/>
    <d v="2026-06-05T00:00:00"/>
    <n v="4115.0999999999995"/>
  </r>
  <r>
    <s v="B0GW2Q1JV7"/>
    <s v="IFB 206L 5 Star Advanced Inverter Direct-Cool Single Door Refrigerator with 30 Hrs Cooling Retention, Big Vegetable Box, 4 Year Super Warranty &amp;amp; Base Stand (2026, IFBDC-232EYBPED, Paradise Dream Blue)"/>
    <x v="7"/>
    <n v="20790"/>
    <n v="29300"/>
    <n v="0.28999999999999998"/>
    <n v="4.2"/>
    <n v="478"/>
    <n v="1"/>
    <b v="0"/>
    <b v="0"/>
    <b v="0"/>
    <b v="0"/>
    <d v="2026-06-05T00:00:00"/>
    <n v="2007.6000000000001"/>
  </r>
  <r>
    <s v="B0GGPD93C1"/>
    <s v="Whirlpool 192 L 3 Star Vitamagic PRO Frost Free Direct-Cool Single Door Refrigerator (215 VMPRO PRM 3S RADIANT STEEL-Y, Silver, Auto Defrost Technology, 2026 Model)"/>
    <x v="7"/>
    <n v="17950"/>
    <n v="21050"/>
    <n v="0.14699999999999999"/>
    <n v="4"/>
    <n v="2191"/>
    <n v="1"/>
    <b v="0"/>
    <b v="0"/>
    <b v="0"/>
    <b v="0"/>
    <d v="2026-06-05T00:00:00"/>
    <n v="8764"/>
  </r>
  <r>
    <s v="B0GRCY68XY"/>
    <s v="LG 185 L, 4 Star, Smart Inverter, Direct Cool Single Door Refrigerator (GLD1945ZOSE, Scarlet Euphoria, Base stand with Drawer)"/>
    <x v="7"/>
    <n v="16990"/>
    <n v="24490"/>
    <n v="0.30599999999999999"/>
    <n v="3.8"/>
    <n v="290"/>
    <n v="1"/>
    <b v="0"/>
    <b v="0"/>
    <b v="0"/>
    <b v="0"/>
    <d v="2026-06-05T00:00:00"/>
    <n v="1102"/>
  </r>
  <r>
    <s v="B0GWF11XZW"/>
    <s v="IFB 187L 4 Star Advanced Inverter Direct-Cool Single Door Refrigerator with 30 Hrs Cooling Retention, Big Vegetable Box, 4 Year Super Warranty &amp;amp; Base Stand (2026, IFBDC-213DYBPED,Paradise Dream Blue)"/>
    <x v="7"/>
    <n v="17690"/>
    <n v="24500"/>
    <n v="0.27800000000000002"/>
    <m/>
    <n v="0"/>
    <n v="1"/>
    <b v="0"/>
    <b v="0"/>
    <b v="0"/>
    <b v="0"/>
    <d v="2026-06-05T00:00:00"/>
    <s v=""/>
  </r>
  <r>
    <s v="B0G8JZHV2S"/>
    <s v="Samsung 330 L, 3 Star, Convertible 5-in-1, Digital Inverter, Frost Free Double Door, WiFi Bespoke AI Refrigerator (RT34HG5A23BXHL, Luxe Black, 2026 Model)"/>
    <x v="7"/>
    <n v="43990"/>
    <n v="51999"/>
    <n v="0.154"/>
    <n v="4"/>
    <n v="34"/>
    <n v="1"/>
    <b v="0"/>
    <b v="0"/>
    <b v="0"/>
    <b v="0"/>
    <d v="2026-06-05T00:00:00"/>
    <n v="136"/>
  </r>
  <r>
    <s v="B0G8JRG8LT"/>
    <s v="Samsung 236 L, 3 Star, Convertible, Digital Inverter Frost Free Double Door Refrigerator (RT40H28U3THL, Silver, Refined Inox, 2026 Model)"/>
    <x v="7"/>
    <n v="28990"/>
    <n v="35999"/>
    <n v="0.19500000000000001"/>
    <n v="3.7"/>
    <n v="137"/>
    <n v="1"/>
    <b v="0"/>
    <b v="0"/>
    <b v="0"/>
    <b v="0"/>
    <d v="2026-06-05T00:00:00"/>
    <n v="506.90000000000003"/>
  </r>
  <r>
    <s v="B0G8JXNCB1"/>
    <s v="Samsung 189 L, 4 Star, Digital Inverter, Direct-Cool Single Door Refrigerator (RR21H2G24S8/HL, Silver, Elegant Inox, Single Touch Defrost, 2026 Model)"/>
    <x v="7"/>
    <n v="16890"/>
    <m/>
    <m/>
    <n v="4.0999999999999996"/>
    <n v="658"/>
    <n v="1"/>
    <b v="0"/>
    <b v="0"/>
    <b v="0"/>
    <b v="0"/>
    <d v="2026-06-05T00:00:00"/>
    <n v="2697.7999999999997"/>
  </r>
  <r>
    <s v="B0GW2YHFCX"/>
    <s v="IFB 197L 5 Star Advanced Inverter Direct-Cool Single Door Refrigerator with 30 Hrs Cooling Retention, XL Bottle Bin, Big Vegetable Box &amp;amp; 4 Year Super Warranty (2026, IFBDC-223EYBSE, Brush Grey)"/>
    <x v="7"/>
    <n v="17990"/>
    <n v="24700"/>
    <n v="0.27200000000000002"/>
    <n v="4.2"/>
    <n v="1372"/>
    <n v="1"/>
    <b v="0"/>
    <b v="0"/>
    <b v="0"/>
    <b v="0"/>
    <d v="2026-06-05T00:00:00"/>
    <n v="5762.4000000000005"/>
  </r>
  <r>
    <s v="B0GK7YXSK1"/>
    <s v="Godrej 223L 2 Star 5 Years Comprehensive New Launch | 95%+ Food Surface Disinfection Uniform 360Â° Cooling Inverter Frost Free Double Door Refrigerator (RF EON 244BN RI STEEL GLOW Steel Glow)"/>
    <x v="7"/>
    <n v="22740"/>
    <m/>
    <m/>
    <n v="4"/>
    <n v="91"/>
    <n v="2"/>
    <b v="0"/>
    <b v="0"/>
    <b v="0"/>
    <b v="0"/>
    <d v="2026-06-05T00:00:00"/>
    <n v="364"/>
  </r>
  <r>
    <s v="B0GL7M6KT4"/>
    <s v="LG 43 L 3 Star Direct Cool Minibar Single Door Refrigerator (GLD0536VRSW, Super White)"/>
    <x v="7"/>
    <n v="11990"/>
    <n v="12990"/>
    <n v="7.6999999999999999E-2"/>
    <n v="4.4000000000000004"/>
    <n v="13"/>
    <n v="1"/>
    <b v="0"/>
    <b v="0"/>
    <b v="0"/>
    <b v="0"/>
    <d v="2026-06-05T00:00:00"/>
    <n v="57.2"/>
  </r>
  <r>
    <s v="B0GRW157R2"/>
    <s v="LG 185 L, 5 Star, Smart Inverter, Direct Cool Single Door Refrigerator (GLD1956ZAPI, Purple Ilan, Fit Max Chiller Tray, Base stand with Drawer &amp;amp; Runs on Home Inverter)"/>
    <x v="7"/>
    <n v="18490"/>
    <n v="26290"/>
    <n v="0.29699999999999999"/>
    <n v="3.7"/>
    <n v="13"/>
    <n v="1"/>
    <b v="0"/>
    <b v="0"/>
    <b v="0"/>
    <b v="0"/>
    <d v="2026-06-05T00:00:00"/>
    <n v="48.1"/>
  </r>
  <r>
    <s v="B0GP6T4T83"/>
    <s v="Haier 240 L 2 Star Frost Free Twin Inverter Double Door Refrigerator with Cool Pad for Extended Freezer Cooling &amp;amp; Spacious Fresh Zone (HEF-252EGSA-P, Moon Silver, 2026 Model)"/>
    <x v="7"/>
    <n v="23090"/>
    <n v="35890"/>
    <n v="0.35699999999999998"/>
    <n v="3.2"/>
    <n v="37"/>
    <n v="1"/>
    <b v="0"/>
    <b v="0"/>
    <b v="0"/>
    <b v="0"/>
    <d v="2026-06-05T00:00:00"/>
    <n v="118.4"/>
  </r>
  <r>
    <s v="B0G8JSRB87"/>
    <s v="Samsung 189 L, 5 Star, Digital Inverter, Direct-Cool Single Door Refrigerator (RR21H2H25UZ/HL, Midnight Blossom Blue, Base Stand Drawer, Single Touch Defrost, 2026 Model)"/>
    <x v="7"/>
    <n v="18990"/>
    <n v="23999"/>
    <n v="0.20899999999999999"/>
    <n v="4.2"/>
    <n v="1120"/>
    <n v="1"/>
    <b v="0"/>
    <b v="0"/>
    <b v="0"/>
    <b v="0"/>
    <d v="2026-06-05T00:00:00"/>
    <n v="4704"/>
  </r>
  <r>
    <s v="B0GPCZBHPH"/>
    <s v="LG 251 L, 1 Star, Frost-Free Smart Inverter Double Door Refrigerator with Smart Mode (GLT2516WWPZ, Shiny Steel, Multi Air Flow Cooling with Max Fresh Zone, 2026 Model)"/>
    <x v="7"/>
    <n v="25990"/>
    <n v="36990"/>
    <n v="0.29699999999999999"/>
    <n v="3.9"/>
    <n v="26"/>
    <n v="1"/>
    <b v="0"/>
    <b v="0"/>
    <b v="0"/>
    <b v="0"/>
    <d v="2026-06-05T00:00:00"/>
    <n v="101.39999999999999"/>
  </r>
  <r>
    <s v="B0GL2M7N7Z"/>
    <s v="Godrej 185 L 5 Star 5 Years Comprehensive Warrant |Turbo Cooling Technology| Toughened Glass Shelves | Direct Cool Single Door Refrigerator (2026 Model, RD 195EN TAI MY WN, Mystic Wine)"/>
    <x v="7"/>
    <n v="16990"/>
    <n v="26490"/>
    <n v="0.35899999999999999"/>
    <n v="4.0999999999999996"/>
    <n v="2290"/>
    <n v="1"/>
    <b v="0"/>
    <b v="0"/>
    <b v="0"/>
    <b v="0"/>
    <d v="2026-06-05T00:00:00"/>
    <n v="9389"/>
  </r>
  <r>
    <s v="B092QNXXNH"/>
    <s v="TOSHIBA 650 L Frost Free Inverter 4-Door Refrigerator (GR-RF646WE-PGI, Classy Blue Glass Door Finish, Futuristic Plasma + Pure Technology) (GR-RF646WE-PGI(24))"/>
    <x v="7"/>
    <n v="134890"/>
    <n v="149990"/>
    <n v="0.10100000000000001"/>
    <n v="3.6"/>
    <n v="13"/>
    <n v="1"/>
    <b v="0"/>
    <b v="0"/>
    <b v="0"/>
    <b v="0"/>
    <d v="2026-06-05T00:00:00"/>
    <n v="46.800000000000004"/>
  </r>
  <r>
    <s v="B0F4WVW7D9"/>
    <s v="Midea 560 L Side by Side Refrigerator, Inverter Compressor, Multi Air Flow Cooling, Water Dispenser (Frost Free, Energy Efficient, Large Capacity, Bru-Steel Finish)"/>
    <x v="7"/>
    <n v="44999"/>
    <n v="110990"/>
    <n v="0.59499999999999997"/>
    <n v="4.0999999999999996"/>
    <n v="415"/>
    <n v="1"/>
    <b v="0"/>
    <b v="0"/>
    <b v="0"/>
    <b v="0"/>
    <d v="2026-06-05T00:00:00"/>
    <n v="1701.4999999999998"/>
  </r>
  <r>
    <s v="B0GXJKFPSF"/>
    <s v="Godrej 185 L 4 Star Single Door Refrigerator with Turbo Cooling Technology, Toughened Glass Shelves &amp;amp; 5 Years Warranty (RD 195DN TAI MY BL, Mystic Blue)"/>
    <x v="7"/>
    <n v="15690"/>
    <n v="24490"/>
    <n v="0.35899999999999999"/>
    <n v="5"/>
    <n v="1"/>
    <n v="1"/>
    <b v="0"/>
    <b v="0"/>
    <b v="0"/>
    <b v="0"/>
    <d v="2026-06-05T00:00:00"/>
    <n v="5"/>
  </r>
  <r>
    <s v="B0G8JJD3CM"/>
    <s v="Samsung 223 L, 3 Star, Digital Inverter, Direct-Cool Single Door Refrigerator (RR24H2823UZ/NL, Midnight Blossom Blue, Base Stand Drawer, Single Touch Defrost, 2026 Model)"/>
    <x v="7"/>
    <n v="20490"/>
    <n v="25999"/>
    <n v="0.21199999999999999"/>
    <n v="3.7"/>
    <n v="30"/>
    <n v="1"/>
    <b v="0"/>
    <b v="0"/>
    <b v="0"/>
    <b v="0"/>
    <d v="2026-06-05T00:00:00"/>
    <n v="111"/>
  </r>
  <r>
    <s v="B0DFCVM72W"/>
    <s v="Samsung 396 L, 3 Star, Convertible 5-in-1, Digital Inverter, Frost Free Double Door, Bespoke AI WiFi Enabled Refrigerator (RT41DG6A4DB1HL, Black Matte/Black DOI)"/>
    <x v="7"/>
    <n v="45099"/>
    <m/>
    <m/>
    <n v="4.0999999999999996"/>
    <n v="1193"/>
    <n v="3"/>
    <b v="0"/>
    <b v="0"/>
    <b v="0"/>
    <b v="0"/>
    <d v="2026-06-05T00:00:00"/>
    <n v="4891.2999999999993"/>
  </r>
  <r>
    <s v="B0G4S5HZ9R"/>
    <s v="SHARP 50L 2 Star Mini Direct Cool Single Door Refrigerator |Japan 7 Shield Protection|Toughened Glass shelves (Metal Silver, SJ-MRW055N3-PSS)"/>
    <x v="7"/>
    <n v="9490"/>
    <n v="10500"/>
    <n v="9.6000000000000002E-2"/>
    <n v="4.0999999999999996"/>
    <n v="136"/>
    <n v="1"/>
    <b v="0"/>
    <b v="0"/>
    <b v="0"/>
    <b v="0"/>
    <d v="2026-06-05T00:00:00"/>
    <n v="557.59999999999991"/>
  </r>
  <r>
    <s v="B0G8JRCJ3N"/>
    <s v="Samsung 301 L, 2 Star, Convertible 5-in-1 Digital Inverter with Display Frost Free Double Door Refrigerator (RT31H4522S9/HL, Silver, Refined Inox, 2026 Model)"/>
    <x v="7"/>
    <n v="36990"/>
    <n v="44999"/>
    <n v="0.17799999999999999"/>
    <n v="4.2"/>
    <n v="288"/>
    <n v="1"/>
    <b v="0"/>
    <b v="0"/>
    <b v="0"/>
    <b v="0"/>
    <d v="2026-06-05T00:00:00"/>
    <n v="1209.6000000000001"/>
  </r>
  <r>
    <s v="B0GW8PT5TC"/>
    <s v="LG 276 L, 2 Star, Smart Inverter, Smart &amp;amp; Dairy Mode, Frost-Free Double Door Convertible Refrigerator (GLT2826XWOB, Onyx Black, Multi Air Flow, Fresh Zone &amp;amp; Deodorizer, 2026 Model)"/>
    <x v="7"/>
    <n v="32990"/>
    <n v="46990"/>
    <n v="0.29799999999999999"/>
    <m/>
    <n v="0"/>
    <n v="1"/>
    <b v="0"/>
    <b v="0"/>
    <b v="0"/>
    <b v="0"/>
    <d v="2026-06-05T00:00:00"/>
    <s v=""/>
  </r>
  <r>
    <s v="B093Q1SLL4"/>
    <s v="Samsung 550 L, Convertible, Digital Inverter, Frost Free French Door Refrigerator (RF57A5032S9/TL, Silver, Refined Inox)"/>
    <x v="7"/>
    <n v="67990"/>
    <n v="87990"/>
    <n v="0.22700000000000001"/>
    <n v="4.0999999999999996"/>
    <n v="675"/>
    <n v="1"/>
    <b v="0"/>
    <b v="0"/>
    <b v="0"/>
    <b v="0"/>
    <d v="2026-06-05T00:00:00"/>
    <n v="2767.4999999999995"/>
  </r>
  <r>
    <s v="B0GK87BDTR"/>
    <s v="Godrej 223 L 3 Star 5 Years Comprehensive New Launch Convertible Freezer 6-In-1, 30 Days Farm Freshness, Inverter Double Door Refrigerator (2026 Model, RF EON 244CN RCIF ST RH, Steel Rush)"/>
    <x v="7"/>
    <n v="23890"/>
    <n v="23990"/>
    <n v="4.0000000000000001E-3"/>
    <n v="3.5"/>
    <n v="38"/>
    <n v="1"/>
    <b v="0"/>
    <b v="0"/>
    <b v="0"/>
    <b v="0"/>
    <d v="2026-06-05T00:00:00"/>
    <n v="133"/>
  </r>
  <r>
    <s v="B0GP6YPGPC"/>
    <s v="Haier 325 L 2 Star Frost Free Triple Inverter Double Door Bottom Mount Refrigerator, Digital Touch Display &amp;amp; 2X Bigger Fresh Storage (HEB-332GBA-P, GE Black, 14 In 1 Convertible Modes, 2026 Model)"/>
    <x v="7"/>
    <n v="37890"/>
    <n v="59690"/>
    <n v="0.36499999999999999"/>
    <n v="4"/>
    <n v="1921"/>
    <n v="1"/>
    <b v="0"/>
    <b v="0"/>
    <b v="0"/>
    <b v="0"/>
    <d v="2026-06-05T00:00:00"/>
    <n v="7684"/>
  </r>
  <r>
    <s v="B0CCJQ6449"/>
    <s v="Midea 233 L 2 Star Frost Free Convertible, Real Inverter Double Door Refrigerator (MDRT359FGI50, Crystal Silver)"/>
    <x v="7"/>
    <n v="18990"/>
    <m/>
    <m/>
    <n v="4.0999999999999996"/>
    <n v="110"/>
    <n v="1"/>
    <b v="0"/>
    <b v="0"/>
    <b v="0"/>
    <b v="0"/>
    <d v="2026-06-05T00:00:00"/>
    <n v="450.99999999999994"/>
  </r>
  <r>
    <s v="B0GMQBMGGN"/>
    <s v="LG 322 L, 2 Star, Convertible, Smart Inverter, Frost Free Double Door Refrigerator (GLT3226SNDS, Dazzle Steel, Express Freeze &amp;amp; Multi Air Flow)"/>
    <x v="7"/>
    <n v="41490"/>
    <n v="56490"/>
    <n v="0.26600000000000001"/>
    <n v="2.5"/>
    <n v="7"/>
    <n v="1"/>
    <b v="0"/>
    <b v="0"/>
    <b v="0"/>
    <b v="0"/>
    <d v="2026-06-05T00:00:00"/>
    <n v="17.5"/>
  </r>
  <r>
    <s v="B09CDRVKDP"/>
    <s v="Samsung 550 L Inverter Frost-Free French Door Refrigerator (RF57A5032B1/TL, Black DOI, Convertible), Real Stainless, Convertible"/>
    <x v="7"/>
    <n v="85990"/>
    <n v="108990"/>
    <n v="0.21099999999999999"/>
    <n v="4.0999999999999996"/>
    <n v="28"/>
    <n v="1"/>
    <b v="0"/>
    <b v="0"/>
    <b v="0"/>
    <b v="0"/>
    <d v="2026-06-05T00:00:00"/>
    <n v="114.79999999999998"/>
  </r>
  <r>
    <s v="B0DV43D663"/>
    <s v="VW 7.5 kg 5 Star Aqua Spin Semi Automatic Top Load Washing Machine AquaSpin0075P (Black)"/>
    <x v="8"/>
    <n v="7490"/>
    <n v="18999"/>
    <n v="0.60599999999999998"/>
    <n v="4.2"/>
    <n v="1722"/>
    <n v="1"/>
    <b v="0"/>
    <b v="0"/>
    <b v="0"/>
    <b v="0"/>
    <d v="2026-06-05T00:00:00"/>
    <n v="7232.4000000000005"/>
  </r>
  <r>
    <s v="B0CC8P3J3L"/>
    <s v="Haier 6 kg 5 Star Oceanus Wave Drum Washing Machine Fully Automatic Top Load (HWM60-AE, Moonlight Silver)"/>
    <x v="8"/>
    <n v="13790"/>
    <n v="18490"/>
    <n v="0.254"/>
    <n v="4.3"/>
    <n v="2069"/>
    <n v="1"/>
    <b v="0"/>
    <b v="0"/>
    <b v="1"/>
    <b v="0"/>
    <d v="2026-06-05T00:00:00"/>
    <n v="8896.6999999999989"/>
  </r>
  <r>
    <s v="B0GVRK9Y7Y"/>
    <s v="Midea 7 Kg 5 Star Fully Automatic Front Load Washing Machine with Inverter Motor, Self Clean Drum Technology, 15 Wash Programs (MFG17W70B/T-IND, Titanium Grey)"/>
    <x v="8"/>
    <n v="20490"/>
    <n v="44990"/>
    <n v="0.54500000000000004"/>
    <n v="5"/>
    <n v="2"/>
    <n v="1"/>
    <b v="0"/>
    <b v="0"/>
    <b v="0"/>
    <b v="0"/>
    <d v="2026-06-05T00:00:00"/>
    <n v="10"/>
  </r>
  <r>
    <s v="B0DSBRDRDV"/>
    <s v="Whirlpool 7 kg Magic Clean 5 Star Fully Automatic Top Load Washing Machine Grey (MAGIC CLEAN 7.0 GENX GREY 5YMW)"/>
    <x v="8"/>
    <n v="16740"/>
    <n v="19550"/>
    <n v="0.14399999999999999"/>
    <n v="4"/>
    <n v="13937"/>
    <n v="1"/>
    <b v="0"/>
    <b v="0"/>
    <b v="0"/>
    <b v="0"/>
    <d v="2026-06-05T00:00:00"/>
    <n v="55748"/>
  </r>
  <r>
    <s v="B09DD573SY"/>
    <s v="LG 7 Kg 5 Star Wind Jet Dry Semi-Automatic Top Loading Washing Machine (P7020NGAZ, Dark Gray, Rat Away Feature)"/>
    <x v="8"/>
    <n v="11990"/>
    <n v="16090"/>
    <n v="0.255"/>
    <n v="4.4000000000000004"/>
    <n v="8258"/>
    <n v="1"/>
    <b v="0"/>
    <b v="0"/>
    <b v="0"/>
    <b v="0"/>
    <d v="2026-06-05T00:00:00"/>
    <n v="36335.200000000004"/>
  </r>
  <r>
    <s v="B09T6NX8W2"/>
    <s v="Samsung 6.5 kg, 5 star, Semi-Automatic Top Load Washing Machine (WT65R2200LL/TL, Air Turbo Drying, LIGHT GRAY, 5 Year Warranty on Wash Motor)"/>
    <x v="8"/>
    <n v="9990"/>
    <n v="12500"/>
    <n v="0.20100000000000001"/>
    <n v="3.9"/>
    <n v="1653"/>
    <n v="1"/>
    <b v="0"/>
    <b v="0"/>
    <b v="0"/>
    <b v="0"/>
    <d v="2026-06-05T00:00:00"/>
    <n v="6446.7"/>
  </r>
  <r>
    <s v="B0CW93ZCB6"/>
    <s v="Voltas Beko, A Tata Product 6.5 Kg 5 Star Semi-Automatic Top Loading Washing Machine (WTT65UNX/OK3I0I0W01, Blue, Pulsator wash technology)"/>
    <x v="8"/>
    <n v="8590"/>
    <n v="12500"/>
    <n v="0.313"/>
    <n v="4"/>
    <n v="768"/>
    <n v="1"/>
    <b v="0"/>
    <b v="0"/>
    <b v="0"/>
    <b v="0"/>
    <d v="2026-06-05T00:00:00"/>
    <n v="3072"/>
  </r>
  <r>
    <s v="B0GTML5HR7"/>
    <s v="Midea 7.5 Kg 5 Star Fully Automatic Top Load Washing Machine, Spiral Stream Tub, Dual Waterfall, 6 Petal Pulsator, Magic Filter (MWMTL075FP0PNMB, Auto Restart, Mid Black)"/>
    <x v="8"/>
    <n v="11790"/>
    <n v="19990"/>
    <n v="0.41"/>
    <n v="4.5"/>
    <n v="2"/>
    <n v="1"/>
    <b v="0"/>
    <b v="0"/>
    <b v="0"/>
    <b v="0"/>
    <d v="2026-06-05T00:00:00"/>
    <n v="9"/>
  </r>
  <r>
    <s v="B0B8NHX62W"/>
    <s v="Samsung 7 kg, 5 Star, Eco Bubble Technology, Digital Inverter Motor, Soft Closing Door, Fully-Automatic Top Load Washing Machine (WA70BG4441YYTL, Lavender Gray)"/>
    <x v="8"/>
    <n v="18690"/>
    <n v="22500"/>
    <n v="0.16900000000000001"/>
    <n v="4.0999999999999996"/>
    <n v="5698"/>
    <n v="1"/>
    <b v="0"/>
    <b v="0"/>
    <b v="0"/>
    <b v="0"/>
    <d v="2026-06-05T00:00:00"/>
    <n v="23361.8"/>
  </r>
  <r>
    <s v="B0FHPZLTDL"/>
    <s v="Whirlpool 7.5 Kg 5 Star StainWash Magic Clean PRO Fully Automatic Top Load Washing Machine (MAGIC CLEAN PRO SW 7.5 (H) GREY 10YMW with In-Built Heater)"/>
    <x v="8"/>
    <n v="18640"/>
    <n v="23250"/>
    <n v="0.19800000000000001"/>
    <n v="4"/>
    <n v="13248"/>
    <n v="1"/>
    <b v="0"/>
    <b v="0"/>
    <b v="0"/>
    <b v="0"/>
    <d v="2026-06-05T00:00:00"/>
    <n v="52992"/>
  </r>
  <r>
    <s v="B0BD8ZPFJQ"/>
    <s v="LG 8.5 kg 5 Star Semi-Automatic Top Load Washing Machine (P8530SRAZ, Burgundy, Roller Jet Pulsator)"/>
    <x v="8"/>
    <n v="15490"/>
    <n v="19990"/>
    <n v="0.22500000000000001"/>
    <n v="4.3"/>
    <n v="1601"/>
    <n v="1"/>
    <b v="0"/>
    <b v="0"/>
    <b v="0"/>
    <b v="0"/>
    <d v="2026-06-05T00:00:00"/>
    <n v="6884.2999999999993"/>
  </r>
  <r>
    <s v="B0C8BDB9WZ"/>
    <s v="Haier 7 Kg 5 Star Semi Automatic Top Load Washing Machine with Anti Bacterial Cross Pulsator and Spray Function (HTW70-1187BTN, Anti Rat Mesh, Magic Filter, Castors, Burgundy)"/>
    <x v="8"/>
    <n v="9890"/>
    <n v="15500"/>
    <n v="0.36199999999999999"/>
    <n v="4.0999999999999996"/>
    <n v="950"/>
    <n v="1"/>
    <b v="0"/>
    <b v="0"/>
    <b v="0"/>
    <b v="0"/>
    <d v="2026-06-05T00:00:00"/>
    <n v="3894.9999999999995"/>
  </r>
  <r>
    <s v="B0DPHT2HZL"/>
    <s v="LG 7 Kg 5 Star Smart Inverter Technology Fully Automatic Top Load Washing Machine (T70VBMB1Z, Auto Prewash, Turbodrum, Stainless Steel drum, LED Display, Smart Diagnosis Middle Black)"/>
    <x v="8"/>
    <n v="19990"/>
    <m/>
    <m/>
    <n v="4.2"/>
    <n v="2271"/>
    <n v="1"/>
    <b v="0"/>
    <b v="0"/>
    <b v="0"/>
    <b v="0"/>
    <d v="2026-06-05T00:00:00"/>
    <n v="9538.2000000000007"/>
  </r>
  <r>
    <s v="B0GRGB5XSK"/>
    <s v="Samsung 8 Kg, 5 Star, Hygiene Steam, Ecobubble, Quick Wash, Soft Closing Door, Digital Inverter, Fully-Automatic Top Load Washing Machine (WA40F08H2CTL, In-Built Heater, Stainwash, Deep Charcoal)"/>
    <x v="8"/>
    <n v="23990"/>
    <n v="30990"/>
    <n v="0.22600000000000001"/>
    <n v="4.4000000000000004"/>
    <n v="25177"/>
    <n v="1"/>
    <b v="0"/>
    <b v="0"/>
    <b v="0"/>
    <b v="0"/>
    <d v="2026-06-05T00:00:00"/>
    <n v="110778.8"/>
  </r>
  <r>
    <s v="B09T6NH99B"/>
    <s v="Samsung 7 kg, 5 star, Semi Automatic Top Load Washing Machine (WT70M3000UU/TL, Air Turbo Drying, LIGHT GRAY, 5 Year Warranty on Wash Motor)"/>
    <x v="8"/>
    <n v="11490"/>
    <n v="14150"/>
    <n v="0.188"/>
    <n v="4.3"/>
    <n v="7194"/>
    <n v="1"/>
    <b v="0"/>
    <b v="0"/>
    <b v="0"/>
    <b v="0"/>
    <d v="2026-06-05T00:00:00"/>
    <n v="30934.199999999997"/>
  </r>
  <r>
    <s v="B0B8NK5HTH"/>
    <s v="Samsung Smart Choice 8 kg, 5 star, Eco Bubble Tech, Digital Inverter Motor, Soft Closing Door, Fully-Automatic Top Load Washing Machine (WA80BG4441BGTL, Light Gray)"/>
    <x v="8"/>
    <n v="20690"/>
    <n v="27000"/>
    <n v="0.23400000000000001"/>
    <n v="4"/>
    <n v="4639"/>
    <n v="1"/>
    <b v="0"/>
    <b v="0"/>
    <b v="0"/>
    <b v="0"/>
    <d v="2026-06-05T00:00:00"/>
    <n v="18556"/>
  </r>
  <r>
    <s v="B0D8L9RCK7"/>
    <s v="IFB 8 Kg 5 Star with Deep CleanÂ® Technology, AI Powered, Fully Automatic Top Load Washing Machine (TL801MG1, ActivMix, Aqua Energie, Med Grey)"/>
    <x v="8"/>
    <n v="19490"/>
    <n v="25290"/>
    <n v="0.22900000000000001"/>
    <n v="4"/>
    <n v="2324"/>
    <n v="1"/>
    <b v="0"/>
    <b v="0"/>
    <b v="0"/>
    <b v="0"/>
    <d v="2026-06-05T00:00:00"/>
    <n v="9296"/>
  </r>
  <r>
    <s v="B0F4QQVV1L"/>
    <s v="LG Smart Choice, 7 Kg, 5 Star, Steam, Inverter Direct Drive Technology, 6 Motion DD, Fully-Automatic Front Load Washing Machine (FHB1207Z2W, Remove Allergens &amp;amp; Stain, In-Built Heater, Essence White)"/>
    <x v="8"/>
    <n v="27490"/>
    <n v="42490"/>
    <n v="0.35299999999999998"/>
    <n v="4.3"/>
    <n v="655"/>
    <n v="1"/>
    <b v="0"/>
    <b v="0"/>
    <b v="0"/>
    <b v="0"/>
    <d v="2026-06-05T00:00:00"/>
    <n v="2816.5"/>
  </r>
  <r>
    <s v="B0DXQ5MQCF"/>
    <s v="Ionstar 7.5 Kg Semi Automatic Washing Machine - 5 Star Rated - 2025 - Top Load - Jet Pulsator - Magic Filter - Special Air Dryer - Buzzer - Wheels - Powerful Copper Motor - 1500 RPM (STAR75-AQUA-G)"/>
    <x v="8"/>
    <n v="7590"/>
    <n v="18990"/>
    <n v="0.6"/>
    <n v="4.4000000000000004"/>
    <n v="215"/>
    <n v="1"/>
    <b v="0"/>
    <b v="0"/>
    <b v="0"/>
    <b v="0"/>
    <d v="2026-06-05T00:00:00"/>
    <n v="946.00000000000011"/>
  </r>
  <r>
    <s v="B0DGLLG6FR"/>
    <s v="Whirlpool 7.0 Kg 5 Star MAGIC CLEAN Semi-Automatic Top Loading Washing Machine (MAGIC CLEAN RYL SRS 7.0 GREY DAZZLE (5YR), 4 Year Comprehensive Warranty, 1400 RPM Motor, 5 Year Motor Warranty)"/>
    <x v="8"/>
    <n v="10990"/>
    <n v="13550"/>
    <n v="0.189"/>
    <n v="4.3"/>
    <n v="12638"/>
    <n v="1"/>
    <b v="0"/>
    <b v="0"/>
    <b v="0"/>
    <b v="0"/>
    <d v="2026-06-05T00:00:00"/>
    <n v="54343.399999999994"/>
  </r>
  <r>
    <s v="B0G4H669DY"/>
    <s v="VW V8 TurboWash 8 Kg 5 Star Fully-Automatic Top Loading Washing Machine (Grey)"/>
    <x v="8"/>
    <n v="10990"/>
    <n v="34999"/>
    <n v="0.68600000000000005"/>
    <n v="3.8"/>
    <n v="91"/>
    <n v="1"/>
    <b v="0"/>
    <b v="0"/>
    <b v="0"/>
    <b v="0"/>
    <d v="2026-06-05T00:00:00"/>
    <n v="345.8"/>
  </r>
  <r>
    <s v="B0GCNSBMR3"/>
    <s v="Bosch 7 kg 5 Star Fully Automatic Top Loading Washing Machine (WOE70AH0IN, PowerWave Wash &amp;amp; in-built Dual Lint Filter, Stainless Steel VarioDrum with 5 fin Pulsator, Water Save, Eco Wash, Med Grey)"/>
    <x v="8"/>
    <n v="17990"/>
    <n v="24490"/>
    <n v="0.26500000000000001"/>
    <n v="4.2"/>
    <n v="2129"/>
    <n v="1"/>
    <b v="0"/>
    <b v="0"/>
    <b v="0"/>
    <b v="0"/>
    <d v="2026-06-05T00:00:00"/>
    <n v="8941.8000000000011"/>
  </r>
  <r>
    <s v="B0C3LHV43S"/>
    <s v="LG Smart Choice, 9 Kg, 5 Star, AI Direct Drive Technology, Steam, 6 Motion DD &amp;amp; Wi-Fi Fully-Automatic Front Load Washing Machine (FHP1209Z5M, Intelligent &amp;amp; Convenient Fabric Care, Middle Black)"/>
    <x v="8"/>
    <n v="41990"/>
    <n v="53990"/>
    <n v="0.222"/>
    <n v="4.3"/>
    <n v="1961"/>
    <n v="1"/>
    <b v="0"/>
    <b v="0"/>
    <b v="0"/>
    <b v="0"/>
    <d v="2026-06-05T00:00:00"/>
    <n v="8432.2999999999993"/>
  </r>
  <r>
    <s v="B0CW3K1TZL"/>
    <s v="Voltas Beko, A Tata Product 6.5 Kg 5 Star Fully-Automatic Top Loading Washing Machine (WTL6504UEA/OBS2P10 Eco-Series,Dark Grey, Pulsator wash and Double waterfall technology)"/>
    <x v="8"/>
    <n v="12990"/>
    <n v="23990"/>
    <n v="0.45900000000000002"/>
    <n v="4"/>
    <n v="434"/>
    <n v="1"/>
    <b v="0"/>
    <b v="0"/>
    <b v="0"/>
    <b v="0"/>
    <d v="2026-06-05T00:00:00"/>
    <n v="1736"/>
  </r>
  <r>
    <s v="B0F4K415FW"/>
    <s v="Bosch 8 kg 5 Star Front Load Fully-Automatic Washing Machine, AI ActiveWater, 15 Wash Programs, Removes 99.9% Germs with Steam, No Tangle or Wrinkle,White, WAJ28260IN"/>
    <x v="8"/>
    <n v="29990"/>
    <n v="48190"/>
    <n v="0.378"/>
    <n v="4.2"/>
    <n v="2364"/>
    <n v="1"/>
    <b v="0"/>
    <b v="0"/>
    <b v="0"/>
    <b v="0"/>
    <d v="2026-06-05T00:00:00"/>
    <n v="9928.8000000000011"/>
  </r>
  <r>
    <s v="B0C9M1ZM5S"/>
    <s v="Voltas Beko, Top Load 7 Kg 5 Star Eco Wash/Monsoon Dry Fully-Automatic Washing Machine (WTL70, Water Reuse, Side Waterfall, Mansoon Dry, Dark Grey)"/>
    <x v="8"/>
    <n v="15390"/>
    <n v="27990"/>
    <n v="0.45"/>
    <n v="4"/>
    <n v="749"/>
    <n v="1"/>
    <b v="0"/>
    <b v="0"/>
    <b v="0"/>
    <b v="0"/>
    <d v="2026-06-05T00:00:00"/>
    <n v="2996"/>
  </r>
  <r>
    <s v="B0F3DBMCBQ"/>
    <s v="Godrej Smart Choice 7 Kg 5 Star, 5 Years Comprehensive Warranty, AI Tech, Fills Tub At ~0 Water Pressure, Fully-Automatic Top Load Washing Machine (WTEON ALP 70 5.0 FDUN GPGR, Graphite Grey)"/>
    <x v="8"/>
    <n v="15389"/>
    <n v="27300"/>
    <n v="0.436"/>
    <n v="4"/>
    <n v="543"/>
    <n v="1"/>
    <b v="0"/>
    <b v="0"/>
    <b v="0"/>
    <b v="0"/>
    <d v="2026-06-05T00:00:00"/>
    <n v="2172"/>
  </r>
  <r>
    <s v="B0DCVZWYJV"/>
    <s v="Voltas Beko, A Tata Product 11 Kg 5 Star Fully-Automatic Top Loading Washing Machine (WTL1106UEA / OBS1060, Grey, Double Waterfall Technology)"/>
    <x v="8"/>
    <n v="22490"/>
    <n v="45990"/>
    <n v="0.51100000000000001"/>
    <n v="4"/>
    <n v="158"/>
    <n v="1"/>
    <b v="0"/>
    <b v="0"/>
    <b v="0"/>
    <b v="0"/>
    <d v="2026-06-05T00:00:00"/>
    <n v="632"/>
  </r>
  <r>
    <s v="B0F2SLWGJW"/>
    <s v="Samsung 8 Kg, 5 Star, AI Wash, AI Energy Mode, Wi-Fi, Ecobubble, AI VRT+, Super Speed, Soft Closing Door, Digital Inverter, Fully-Automatic Top Load Washing Machine (WA80F08S2LTL, Lavender Gray)"/>
    <x v="8"/>
    <n v="21990"/>
    <n v="30990"/>
    <n v="0.28999999999999998"/>
    <n v="4"/>
    <n v="1630"/>
    <n v="1"/>
    <b v="0"/>
    <b v="0"/>
    <b v="0"/>
    <b v="0"/>
    <d v="2026-06-05T00:00:00"/>
    <n v="6520"/>
  </r>
  <r>
    <s v="B0DDTR73C1"/>
    <s v="Whirlpool 6.5 Kg 5 Star Magic Clean Semi-Automatic Top Loading Washing Machine (MAGIC CLEAN 6.5 GREY, 4 Year Comprehensive Warranty, 1400 RPM Motor, 5 Year Motor Warranty)"/>
    <x v="8"/>
    <n v="10490"/>
    <n v="13550"/>
    <n v="0.22600000000000001"/>
    <n v="4.2"/>
    <n v="437"/>
    <n v="1"/>
    <b v="0"/>
    <b v="0"/>
    <b v="0"/>
    <b v="0"/>
    <d v="2026-06-05T00:00:00"/>
    <n v="1835.4"/>
  </r>
  <r>
    <s v="B0GCNFRRL8"/>
    <s v="Bosch 8 kg 5 Star Fully Automatic Top Loading Washing Machine (WOE80AH0IN, PowerWave Wash &amp;amp; in-built Dual Lint Filter, Stainless Steel VarioDrum with 5 fin Pulsator, Water Save, Eco Wash, Dark Grey)"/>
    <x v="8"/>
    <n v="19490"/>
    <n v="26490"/>
    <n v="0.26400000000000001"/>
    <n v="4.0999999999999996"/>
    <n v="527"/>
    <n v="1"/>
    <b v="0"/>
    <b v="0"/>
    <b v="0"/>
    <b v="0"/>
    <d v="2026-06-05T00:00:00"/>
    <n v="2160.6999999999998"/>
  </r>
  <r>
    <s v="B0D95VC9WT"/>
    <s v="Voltas Beko, A Tata Product 9 Kg 5 Star Semi-Automatic Top Loading Washing Machine (WTT90UHA/OK5B1B1S23, Black, Pulsator Wash Method and Double waterfall technology)"/>
    <x v="8"/>
    <n v="13499"/>
    <n v="17990"/>
    <n v="0.25"/>
    <n v="4.0999999999999996"/>
    <n v="289"/>
    <n v="1"/>
    <b v="0"/>
    <b v="0"/>
    <b v="0"/>
    <b v="0"/>
    <d v="2026-06-05T00:00:00"/>
    <n v="1184.8999999999999"/>
  </r>
  <r>
    <s v="B0F2TFK5YN"/>
    <s v="Voltas Beko, A Tata Product 8 kg 5 Star Fully-Automatic Top Loading Washing Machine (WTL8006UEA / OBS1060, Grey, Double Waterfall Technology)"/>
    <x v="8"/>
    <n v="17640"/>
    <n v="40990"/>
    <n v="0.56999999999999995"/>
    <n v="4"/>
    <n v="89"/>
    <n v="1"/>
    <b v="0"/>
    <b v="0"/>
    <b v="0"/>
    <b v="0"/>
    <d v="2026-06-05T00:00:00"/>
    <n v="356"/>
  </r>
  <r>
    <s v="B0DFLWDPV4"/>
    <s v="IFB 7 Kg 5 Star, DeepCleanÂ® Technology, AI Powered, WiFi, Fully Automatic Front Load Washing Machine (SERENA SXN 7012 CMS, PowerSteamÂ®, 9 Swirl, Steam Refresh, Inbuilt Heater, Eco Inverter,Rich Silver)"/>
    <x v="8"/>
    <n v="30490"/>
    <n v="37090"/>
    <n v="0.17799999999999999"/>
    <n v="4.5"/>
    <n v="1289"/>
    <n v="1"/>
    <b v="0"/>
    <b v="0"/>
    <b v="0"/>
    <b v="0"/>
    <d v="2026-06-05T00:00:00"/>
    <n v="5800.5"/>
  </r>
  <r>
    <s v="B0FLRRMMX3"/>
    <s v="VW 8 kg 5 Star Super Wash Semi Automatic Top Load Washing Machine SuperWash0080P (White &amp;amp; Burgundy)"/>
    <x v="8"/>
    <n v="8099"/>
    <n v="19999"/>
    <n v="0.59499999999999997"/>
    <n v="4.3"/>
    <n v="465"/>
    <n v="1"/>
    <b v="0"/>
    <b v="0"/>
    <b v="0"/>
    <b v="0"/>
    <d v="2026-06-05T00:00:00"/>
    <n v="1999.5"/>
  </r>
  <r>
    <s v="B0DRYMKCW4"/>
    <s v="Samsung 9 kg, 5 star, AI EcoBubble, Super Speed, Wi-Fi, Hygiene Steam with Inbuilt Heater, Digital Inverter, Fully-Automatic Front Load Washing Machine (WW90DG5U24AXTL, Inox)"/>
    <x v="8"/>
    <n v="40490"/>
    <n v="50990"/>
    <n v="0.20599999999999999"/>
    <n v="4.2"/>
    <n v="630"/>
    <n v="1"/>
    <b v="0"/>
    <b v="0"/>
    <b v="0"/>
    <b v="0"/>
    <d v="2026-06-05T00:00:00"/>
    <n v="2646"/>
  </r>
  <r>
    <s v="B0F8QV7RCR"/>
    <s v="IFB 9 Kg 5 Star, DeepCleanÂ® Technology, AI Powered, WiFi, Fully Automatic Front Load Washing Machine (EXECUTIVE MXN 9014K CMS, PowerSteamÂ®, 9 Swirl, Steam Refresh, Inbuilt Heater, Eco Inverter, Mocha)"/>
    <x v="8"/>
    <n v="39990"/>
    <n v="48490"/>
    <n v="0.17499999999999999"/>
    <n v="4.5999999999999996"/>
    <n v="519"/>
    <n v="1"/>
    <b v="0"/>
    <b v="0"/>
    <b v="0"/>
    <b v="0"/>
    <d v="2026-06-05T00:00:00"/>
    <n v="2387.3999999999996"/>
  </r>
  <r>
    <s v="B0BWN5V717"/>
    <s v="Samsung 7.5 Kg Inverter 5 Star Semi Automatic Top Load Washing Machine (WT75B3200RR/TL, Light Grey &amp;amp; Red Base, Air turbo drying, 5 Year Warranty on Wash Motor)"/>
    <x v="8"/>
    <n v="13000"/>
    <n v="15800"/>
    <n v="0.17699999999999999"/>
    <n v="4.0999999999999996"/>
    <n v="2878"/>
    <n v="1"/>
    <b v="0"/>
    <b v="0"/>
    <b v="0"/>
    <b v="0"/>
    <d v="2026-06-05T00:00:00"/>
    <n v="11799.8"/>
  </r>
  <r>
    <s v="B0DFLWL16S"/>
    <s v="IFB 6.5 Kg 5 Star, DeepCleanÂ® Technology, AI Powered, Fully Automatic Front Load Washing Machine (ELENA GXN 6510, PowerSteamÂ®, 9 Swirl, Steam Refresh, Inbuilt Heater, Eco Inverter, Grey)"/>
    <x v="8"/>
    <n v="28990"/>
    <n v="35990"/>
    <n v="0.19400000000000001"/>
    <n v="4.2"/>
    <n v="632"/>
    <n v="1"/>
    <b v="0"/>
    <b v="0"/>
    <b v="0"/>
    <b v="0"/>
    <d v="2026-06-05T00:00:00"/>
    <n v="2654.4"/>
  </r>
  <r>
    <s v="B0F2S2YTKP"/>
    <s v="Samsung Smart Choice 10 Kg, 5 Star, AI Wash, AI Energy Mode, Wi-Fi, Ecobubble, AI VRT+, Soft Closing Door, Digital Inverter, Fully-Automatic Top Load Washing Machine (WA80F10E2LTL, Lavender Gray)"/>
    <x v="8"/>
    <n v="25990"/>
    <n v="33990"/>
    <n v="0.23499999999999999"/>
    <n v="4.2"/>
    <n v="9559"/>
    <n v="1"/>
    <b v="0"/>
    <b v="0"/>
    <b v="0"/>
    <b v="0"/>
    <d v="2026-06-05T00:00:00"/>
    <n v="40147.800000000003"/>
  </r>
  <r>
    <s v="B0GCYNHN99"/>
    <s v="Whirlpool 8 kg Magic Clean 5 Star Fully Automatic Top Load Washing Machine Grey (MAGIC CLEAN ELT 8.0 GREY 10YMW, Hard Water Wash)"/>
    <x v="8"/>
    <n v="18690"/>
    <n v="21950"/>
    <n v="0.14899999999999999"/>
    <n v="4"/>
    <n v="1832"/>
    <n v="1"/>
    <b v="0"/>
    <b v="0"/>
    <b v="0"/>
    <b v="0"/>
    <d v="2026-06-05T00:00:00"/>
    <n v="7328"/>
  </r>
  <r>
    <s v="B0D2QWCCC2"/>
    <s v="Godrej 7 Kg 5 Star, AI Powered, FabriSafe Drum, 65% Water Saving, Fully Automatic Front Load Washing Machine (WFEON CRS 7010 5.0 FKEDM GLWH, Glacial White)"/>
    <x v="8"/>
    <n v="21490"/>
    <n v="46500"/>
    <n v="0.53800000000000003"/>
    <n v="3.7"/>
    <n v="175"/>
    <n v="1"/>
    <b v="0"/>
    <b v="0"/>
    <b v="0"/>
    <b v="0"/>
    <d v="2026-06-05T00:00:00"/>
    <n v="647.5"/>
  </r>
  <r>
    <s v="B09FHRY2RF"/>
    <s v="LG 11 Kg 5 Star Wind Jet Dry Rat Away Technology Semi-Automatic Top Loading Washing Machine (P1155SKAZ, Roller Jet Pulsator, Punch + 3, Middle Black)"/>
    <x v="8"/>
    <n v="18990"/>
    <n v="26490"/>
    <n v="0.28299999999999997"/>
    <n v="4.4000000000000004"/>
    <n v="1504"/>
    <n v="1"/>
    <b v="0"/>
    <b v="0"/>
    <b v="0"/>
    <b v="0"/>
    <d v="2026-06-05T00:00:00"/>
    <n v="6617.6"/>
  </r>
  <r>
    <s v="B0CVQJR1XL"/>
    <s v="Samsung 10.5 kg, 5 star, Semi-Automatic Top Load Washing Machine (WT10C4260GG/TL, Air Turbo Drying, Light Gray,)"/>
    <x v="8"/>
    <n v="16100"/>
    <n v="20490"/>
    <n v="0.214"/>
    <n v="4.3"/>
    <n v="1097"/>
    <n v="1"/>
    <b v="0"/>
    <b v="0"/>
    <b v="0"/>
    <b v="0"/>
    <d v="2026-06-05T00:00:00"/>
    <n v="4717.0999999999995"/>
  </r>
  <r>
    <s v="B08ZJHJ5DJ"/>
    <s v="Haier 7 Kg, Oceanus Wave Drum, 15 Min Quick Wash, Magic Filter, 8 Wash Programs, Fully Automatic Top Load Washing Machine (HWM70-AE | Moonlight Silver)"/>
    <x v="8"/>
    <n v="15590"/>
    <n v="15990"/>
    <n v="2.5000000000000001E-2"/>
    <n v="4"/>
    <n v="817"/>
    <n v="1"/>
    <b v="0"/>
    <b v="0"/>
    <b v="0"/>
    <b v="0"/>
    <d v="2026-06-05T00:00:00"/>
    <n v="3268"/>
  </r>
  <r>
    <s v="B0BV2RJV1B"/>
    <s v="Samsung 9.5 Kg, 5 Star, Semi-Automatic Top Load Washing Machine (WT95A4260GD/TL, Air Turbo Drying, Dark Gray, 5 Year Warranty on Wash Motor)"/>
    <x v="8"/>
    <n v="15790"/>
    <n v="20400"/>
    <n v="0.22600000000000001"/>
    <n v="4.3"/>
    <n v="2536"/>
    <n v="1"/>
    <b v="0"/>
    <b v="0"/>
    <b v="0"/>
    <b v="0"/>
    <d v="2026-06-05T00:00:00"/>
    <n v="10904.8"/>
  </r>
  <r>
    <s v="B0D8HX97BY"/>
    <s v="IFB 9Kg 5 Star with Deep Clean Oxyjet Technology, AI Powered, Wi-Fi, Fully Automatic Front Load Washing Machine (EXECUTIVE MSC 9014 SSL, Steam Refresh Program with Eco Inverter, Metallic Silver)"/>
    <x v="8"/>
    <n v="44899"/>
    <m/>
    <m/>
    <n v="4.5"/>
    <n v="1963"/>
    <n v="2"/>
    <b v="0"/>
    <b v="0"/>
    <b v="0"/>
    <b v="0"/>
    <d v="2026-06-05T00:00:00"/>
    <n v="8833.5"/>
  </r>
  <r>
    <s v="B0F43WXDG9"/>
    <s v="Whirlpool 10 Kg 5 Star MAGIC CLEAN BW PRO Heater Fully Automatic Top Load Washing Machine (MAGIC CLEAN BW PRO H 10 KG Mn GREY 10YMW with In-Built Heater, 2025)"/>
    <x v="8"/>
    <n v="26950"/>
    <n v="35500"/>
    <n v="0.24099999999999999"/>
    <n v="4"/>
    <n v="2892"/>
    <n v="1"/>
    <b v="0"/>
    <b v="0"/>
    <b v="0"/>
    <b v="0"/>
    <d v="2026-06-05T00:00:00"/>
    <n v="11568"/>
  </r>
  <r>
    <s v="B0GMD5NPX6"/>
    <s v="Godrej 1.5 Ton 3 Star Inverter Split AC with 5-in-1 Convertible Cooling| 5 Year Comprehensive Warranty| AI Powered| Heavy Duty Cooling at 52Â°C| Self Clean Technology (AC 1.5T EC HIC 18Q3TH WA)"/>
    <x v="9"/>
    <n v="32950"/>
    <n v="45300"/>
    <n v="0.27300000000000002"/>
    <n v="3.1"/>
    <n v="55"/>
    <n v="4"/>
    <b v="0"/>
    <b v="0"/>
    <b v="0"/>
    <b v="0"/>
    <d v="2026-06-05T00:00:00"/>
    <n v="170.5"/>
  </r>
  <r>
    <s v="B0GN37XP19"/>
    <s v="Cruise 1 Ton 3 Star, New Star rated, Inverter Split AC with 7-Stage Air Filtration (Copper, Convertible 4-in-1, Fast Cooling at 48 Â°C, PM 2.5 Filter, Anti-Rust Tech, CWCVBM-VQ1D123,White)"/>
    <x v="9"/>
    <n v="26990"/>
    <n v="43900"/>
    <n v="0.38500000000000001"/>
    <n v="4.0999999999999996"/>
    <n v="174"/>
    <n v="1"/>
    <b v="0"/>
    <b v="0"/>
    <b v="0"/>
    <b v="0"/>
    <d v="2026-06-05T00:00:00"/>
    <n v="713.4"/>
  </r>
  <r>
    <s v="B0H2Z54Y5T"/>
    <s v="Godrej 1.5 Ton 3 Star Inverter Split Smart AC (2026 Model, HIC 18Z3TG VA IOT4, Copper Condenser, 4-Way Swing, Wi-Fi Voice &amp;amp; App Control, i-Sense Technology, White)"/>
    <x v="9"/>
    <n v="34999"/>
    <m/>
    <m/>
    <m/>
    <n v="0"/>
    <n v="1"/>
    <b v="0"/>
    <b v="0"/>
    <b v="0"/>
    <b v="0"/>
    <d v="2026-06-05T00:00:00"/>
    <s v=""/>
  </r>
  <r>
    <s v="B0GHFS8GMH"/>
    <s v="Cruise 1.5 Ton 3 Star,New Star rated, Inverter Split AC with 7-Stage Air Filtration (Copper, Convertible 4-in-1, Fast Cooling, PM 2.5 Filter, Anti-Rust Tech, New BEE Rated, CWCVBM-VQ3D173, White)"/>
    <x v="9"/>
    <n v="29990"/>
    <n v="47900"/>
    <n v="0.374"/>
    <n v="3.7"/>
    <n v="171"/>
    <n v="1"/>
    <b v="0"/>
    <b v="0"/>
    <b v="0"/>
    <b v="0"/>
    <d v="2026-06-05T00:00:00"/>
    <n v="632.70000000000005"/>
  </r>
  <r>
    <s v="B0CWVDXYX1"/>
    <s v="Voltas 183V Vectra CAW 1.5 ton 3 star,New star rated, inverter Split AC|4-IN-1 Adjustable mode|High ambient Cooling-cools even at 52Â°C|Anti dust filter with Anti-microbial coating|Copper Coil| White"/>
    <x v="9"/>
    <n v="31490"/>
    <n v="62990"/>
    <n v="0.5"/>
    <n v="3.5"/>
    <n v="2493"/>
    <n v="1"/>
    <b v="0"/>
    <b v="0"/>
    <b v="0"/>
    <b v="0"/>
    <d v="2026-06-05T00:00:00"/>
    <n v="8725.5"/>
  </r>
  <r>
    <s v="B0GHQVN35Z"/>
    <s v="Whirlpool 1.5 Ton 3 Star, New star rated, Magicool Inverter Split AC (MAGICOOL 15T 3S INV CNV S6K2PP0, Copper, Convertible 4-in-1 Cooling Mode, HD Filter White)"/>
    <x v="9"/>
    <n v="32490"/>
    <n v="57150"/>
    <n v="0.43099999999999999"/>
    <n v="3.1"/>
    <n v="112"/>
    <n v="2"/>
    <b v="0"/>
    <b v="0"/>
    <b v="0"/>
    <b v="0"/>
    <d v="2026-06-05T00:00:00"/>
    <n v="347.2"/>
  </r>
  <r>
    <s v="B0GSJV6XTF"/>
    <s v="IFB 1 Ton 3 Star,New star rated, AI Powered Inverter Split AC,Hybrid Mode, 8in1 Flexi Mode, Heavy Duty Compressor, Long Air Throw, Self Clean, Dual Gold Fins, 100% Copper, CI133SL11RGM3, white"/>
    <x v="9"/>
    <n v="30980"/>
    <n v="50990"/>
    <n v="0.39200000000000002"/>
    <n v="4.2"/>
    <n v="101"/>
    <n v="4"/>
    <b v="0"/>
    <b v="0"/>
    <b v="0"/>
    <b v="0"/>
    <d v="2026-06-05T00:00:00"/>
    <n v="424.20000000000005"/>
  </r>
  <r>
    <s v="B0F2J56GZR"/>
    <s v="Blue Star 1 Ton 3 Star,Inverter Split AC (Copper, Convertible 5 in 1 Cooling, DigiQ Hepta Sensor,Blue Fins, Self Diagnosis, IE312PNU, White)"/>
    <x v="9"/>
    <n v="39700"/>
    <m/>
    <m/>
    <n v="4.3"/>
    <n v="135"/>
    <n v="1"/>
    <b v="0"/>
    <b v="0"/>
    <b v="0"/>
    <b v="0"/>
    <d v="2026-06-05T00:00:00"/>
    <n v="580.5"/>
  </r>
  <r>
    <s v="B0GVJ3PXPG"/>
    <s v="IFB 1.5 Ton 5Star,New star rated,AI Powered Inverter Split Air Conditioner with Inbuilt WiFi,Hybrid Mode, 8in1 Flexi Mode,Heavy Duty Compressor,Self Clean,100% Copper Tubes,CI195SS32SGM3, White"/>
    <x v="9"/>
    <n v="42490"/>
    <n v="76490"/>
    <n v="0.44500000000000001"/>
    <n v="4.3"/>
    <n v="264"/>
    <n v="1"/>
    <b v="0"/>
    <b v="0"/>
    <b v="1"/>
    <b v="0"/>
    <d v="2026-06-05T00:00:00"/>
    <n v="1135.2"/>
  </r>
  <r>
    <s v="B0D184ZZDL"/>
    <s v="Lloyd 1 Ton 3 Star Inverter Split AC (5 in 1 Convertible, Cools Up To 52Â°C, Smart 4 Way Air Swing, Turbo Cool, Installation Check, 100% Copper, White with Silver Deco Strip, GLS12I3FWSEA)"/>
    <x v="9"/>
    <n v="28990"/>
    <m/>
    <m/>
    <n v="3.2"/>
    <n v="143"/>
    <n v="1"/>
    <b v="0"/>
    <b v="0"/>
    <b v="0"/>
    <b v="0"/>
    <d v="2026-06-05T00:00:00"/>
    <n v="457.6"/>
  </r>
  <r>
    <s v="B0GX6XHZ3S"/>
    <s v="GENERAL 1 Ton BEE 2026 3 Star Rated, Inverter Split AC (Copper, 3580W, Powerful Cooling, 10m Long Reach Airflow, 55Â°C Max, Suitable for 120~150 Sft, ASGG12CPWA-B, White, Free Standard Installation)"/>
    <x v="9"/>
    <n v="39390"/>
    <n v="44400"/>
    <n v="0.113"/>
    <n v="4.3"/>
    <n v="9"/>
    <n v="1"/>
    <b v="0"/>
    <b v="0"/>
    <b v="0"/>
    <b v="0"/>
    <d v="2026-06-05T00:00:00"/>
    <n v="38.699999999999996"/>
  </r>
  <r>
    <s v="B0DQTBQV3C"/>
    <s v="Hitachi 1.5 Ton 3 Star Xpandable+ Inverter Split AC (100% Copper, 4-Way Swing, ice Clean, Dust Filter, 3400SXL RAS.D318PCCIBS, White)"/>
    <x v="9"/>
    <n v="34880"/>
    <n v="63850"/>
    <n v="0.45400000000000001"/>
    <n v="3.9"/>
    <n v="1203"/>
    <n v="5"/>
    <b v="0"/>
    <b v="0"/>
    <b v="0"/>
    <b v="0"/>
    <d v="2026-06-05T00:00:00"/>
    <n v="4691.7"/>
  </r>
  <r>
    <s v="B0GVJ3WB54"/>
    <s v="IFB 1.5 Ton 3 Star, New star rated,AI Powered Inverter Split AC,Inbuilt WiFi, Hybrid Mode, 8-in-1 Flexi Mode, Heavy Duty Compressor, Long Air Throw, Self Clean, 100% Copper,CI183SS22SGM3, White"/>
    <x v="9"/>
    <n v="36300"/>
    <n v="61490"/>
    <n v="0.41"/>
    <n v="4.3"/>
    <n v="32"/>
    <n v="1"/>
    <b v="0"/>
    <b v="0"/>
    <b v="0"/>
    <b v="0"/>
    <d v="2026-06-05T00:00:00"/>
    <n v="137.6"/>
  </r>
  <r>
    <s v="B0GP6S6S5F"/>
    <s v="Hitachi 1 Ton 5 Star, New Star rated, Inverter Split AC (Copper, Smart View Display, ice Clean, 4 Way Swing, Anti-Bacterial Filter,RAS.V512PCDIBT, White)"/>
    <x v="9"/>
    <n v="36999"/>
    <n v="65990"/>
    <n v="0.439"/>
    <n v="3.8"/>
    <n v="52"/>
    <n v="1"/>
    <b v="0"/>
    <b v="0"/>
    <b v="0"/>
    <b v="0"/>
    <d v="2026-06-05T00:00:00"/>
    <n v="197.6"/>
  </r>
  <r>
    <s v="B0GSZWGHM3"/>
    <s v="Voltas 1.5 ton 5 Star Inverter Window AC (Copper, 2-in-1 Cooling Modes, Anti-Dust Filter, 2-Way Swing, Memory Restart, Sleep Mode (185INV ELITE, White)"/>
    <x v="9"/>
    <n v="34990"/>
    <n v="47990"/>
    <n v="0.27100000000000002"/>
    <n v="3.6"/>
    <n v="42"/>
    <n v="1"/>
    <b v="0"/>
    <b v="0"/>
    <b v="0"/>
    <b v="0"/>
    <d v="2026-06-05T00:00:00"/>
    <n v="151.20000000000002"/>
  </r>
  <r>
    <s v="B0GWMMD2DT"/>
    <s v="LG 1.5 Ton 5 Star,New star rated, Smart Inverter Split AC (Copper, AI Convertible 6in1,VIRAAT Mode, Faster Cooling &amp;amp; Energy Saving, 4 Way Swing, HD Filter, AS-Q19YNZE1,White)"/>
    <x v="9"/>
    <n v="48490"/>
    <n v="83290"/>
    <n v="0.41799999999999998"/>
    <n v="4.0999999999999996"/>
    <n v="788"/>
    <n v="1"/>
    <b v="0"/>
    <b v="0"/>
    <b v="0"/>
    <b v="0"/>
    <d v="2026-06-05T00:00:00"/>
    <n v="3230.7999999999997"/>
  </r>
  <r>
    <s v="B0GMDS7CY7"/>
    <s v="Godrej 1 Ton 5 Star, New Star rated, 5 Years Comprehensive Warranty, AI Powered, 5in1 Convertible Cooling, Inverter Split AC (Copper,Heavy-Duty Cooling at 52Â° C, AC 1.0T EC HIC 12J5TG WA,White)"/>
    <x v="9"/>
    <n v="33989"/>
    <n v="49090"/>
    <n v="0.308"/>
    <n v="3.9"/>
    <n v="607"/>
    <n v="1"/>
    <b v="0"/>
    <b v="0"/>
    <b v="0"/>
    <b v="0"/>
    <d v="2026-06-05T00:00:00"/>
    <n v="2367.2999999999997"/>
  </r>
  <r>
    <s v="B0GXWCJ7JQ"/>
    <s v="Voltas 1 ton 3 Star Split AC|Auto Clean|Sleep mode (123INV VECTRA EMERALD)"/>
    <x v="9"/>
    <n v="31490"/>
    <n v="32400"/>
    <n v="2.8000000000000001E-2"/>
    <n v="4"/>
    <n v="1"/>
    <n v="1"/>
    <b v="0"/>
    <b v="0"/>
    <b v="0"/>
    <b v="0"/>
    <d v="2026-06-05T00:00:00"/>
    <n v="4"/>
  </r>
  <r>
    <s v="B0GQ4VYGH7"/>
    <s v="VELURA Ductless Mini Split Air Conditioner with Remote for Apartment Office Bedroom|1 Mini Split Air Conditioner Home &amp;amp; Garden"/>
    <x v="9"/>
    <n v="6735"/>
    <n v="12796"/>
    <n v="0.47399999999999998"/>
    <n v="2.5"/>
    <n v="3"/>
    <n v="2"/>
    <b v="0"/>
    <b v="0"/>
    <b v="0"/>
    <b v="0"/>
    <d v="2026-06-05T00:00:00"/>
    <n v="7.5"/>
  </r>
  <r>
    <s v="B0GN1PXL63"/>
    <s v="Godrej 1.5 Ton 3 Star, New star rated,5 Years Comprehensive Warranty,AI Powered, 5 in1 Convertible Cooling, Inverter Split AC (Copper, Heavy Duty Cooling at 52Â°C, AC 1.5T SIC 18NTC3 WZE 3S,White)"/>
    <x v="9"/>
    <n v="31990"/>
    <m/>
    <m/>
    <n v="3.5"/>
    <n v="146"/>
    <n v="1"/>
    <b v="0"/>
    <b v="0"/>
    <b v="0"/>
    <b v="0"/>
    <d v="2026-06-05T00:00:00"/>
    <n v="511"/>
  </r>
  <r>
    <s v="B0GHFLZQ21"/>
    <s v="Cruise 1.5 Ton 5 Star, New star rated, Black Inverter Split AC (Copper, Convertible 4-in-1, 4-Way Swing, Cooling at 55 Â°C, PM 2.5 Filter, Energy Saving, Anti-Rust Tech, CWCVBM-VP3F185BL, Piano Black)"/>
    <x v="9"/>
    <n v="36989"/>
    <n v="60900"/>
    <n v="0.39300000000000002"/>
    <n v="3.7"/>
    <n v="11"/>
    <n v="1"/>
    <b v="0"/>
    <b v="0"/>
    <b v="0"/>
    <b v="0"/>
    <d v="2026-06-05T00:00:00"/>
    <n v="40.700000000000003"/>
  </r>
  <r>
    <s v="B0BK1KS6ZD"/>
    <s v="Daikin 1.5 Ton 3 Star Inverter Split AC (Copper, PM 2.5 Filter, Triple Display, Dew Clean Technology, Coanda Airflow, 2024 Model, MTKL50U, White)"/>
    <x v="9"/>
    <n v="38990"/>
    <n v="67900"/>
    <n v="0.42599999999999999"/>
    <n v="4.0999999999999996"/>
    <n v="4698"/>
    <n v="1"/>
    <b v="0"/>
    <b v="0"/>
    <b v="0"/>
    <b v="0"/>
    <d v="2026-06-05T00:00:00"/>
    <n v="19261.8"/>
  </r>
  <r>
    <s v="B0GT12VHZB"/>
    <s v="Voltas 1 ton 2 Star Fixed Speed Window AC (Copper, Anti Dust Filter, 2-Way Air Swing, Memory Restart, Sleep Mode (122FS PLATINA, White)"/>
    <x v="9"/>
    <n v="27981"/>
    <n v="32990"/>
    <n v="0.152"/>
    <n v="3.4"/>
    <n v="18"/>
    <n v="1"/>
    <b v="0"/>
    <b v="0"/>
    <b v="0"/>
    <b v="0"/>
    <d v="2026-06-05T00:00:00"/>
    <n v="61.199999999999996"/>
  </r>
  <r>
    <s v="B0GLG57PWF"/>
    <s v="Ductless Mini Split Air Conditioner with Remote for Apartment Office Bedroom"/>
    <x v="9"/>
    <n v="5686"/>
    <n v="12167"/>
    <n v="0.53300000000000003"/>
    <m/>
    <n v="0"/>
    <n v="1"/>
    <b v="0"/>
    <b v="0"/>
    <b v="0"/>
    <b v="0"/>
    <d v="2026-06-05T00:00:00"/>
    <s v=""/>
  </r>
  <r>
    <s v="B0GDZVGC9W"/>
    <s v="LG 1 Ton 4 Star,New star rated,DUAL Inverter Split AC (Copper, AI Convertible 6-in-1 with VIRAAT Mode,Faster Cooling &amp;amp; Energy Saving, 4 Way Swing, HD Filter with AntiVirus Protection,AS-Q13JNYE,White)"/>
    <x v="9"/>
    <n v="37490"/>
    <n v="68990"/>
    <n v="0.45700000000000002"/>
    <n v="4"/>
    <n v="2065"/>
    <n v="1"/>
    <b v="0"/>
    <b v="0"/>
    <b v="0"/>
    <b v="0"/>
    <d v="2026-06-05T00:00:00"/>
    <n v="8260"/>
  </r>
  <r>
    <s v="B0F6VQ2XV6"/>
    <s v="Acerpure Chill Inverter Split Air Conditioner 1 ton 3 star, 4 in 1 convertible design, Anti-virus Filter, Blue Fin Technology Air Conditioner (White)"/>
    <x v="9"/>
    <n v="24990"/>
    <n v="27999"/>
    <n v="0.107"/>
    <n v="3.3"/>
    <n v="16"/>
    <n v="1"/>
    <b v="0"/>
    <b v="0"/>
    <b v="0"/>
    <b v="0"/>
    <d v="2026-06-05T00:00:00"/>
    <n v="52.8"/>
  </r>
  <r>
    <s v="B0GLPT7LPG"/>
    <s v="Ecozen Smart Air Conditioner - 1.5 Ton Inverter AC with Intelligent Cooling and Smartphone App Control (Classic) - IDU-WSAC18310XE52VMA, ODU-WSAC18310XE52VMA"/>
    <x v="9"/>
    <m/>
    <m/>
    <m/>
    <n v="3.2"/>
    <n v="21"/>
    <n v="1"/>
    <b v="0"/>
    <b v="0"/>
    <b v="0"/>
    <b v="0"/>
    <d v="2026-06-05T00:00:00"/>
    <n v="67.2"/>
  </r>
  <r>
    <s v="B0DSJ9FQLD"/>
    <s v="Whirlpool 1.5 Ton 3 Star, Magicool Inverter Split AC (MAGICOOL 15T 3S INV CNV S5K2PP0, Copper, Convertible 4-in-1 Cooling Mode, HD Filter White)"/>
    <x v="9"/>
    <n v="32100"/>
    <n v="57660"/>
    <n v="0.443"/>
    <n v="3.3"/>
    <n v="630"/>
    <n v="1"/>
    <b v="0"/>
    <b v="0"/>
    <b v="0"/>
    <b v="0"/>
    <d v="2026-06-05T00:00:00"/>
    <n v="2079"/>
  </r>
  <r>
    <s v="B0GMYF4SNM"/>
    <s v="Blue Star 1.5 Ton 5 Star,New Star Rated, Wi-Fi Smart Inverter Split AC (Copper,4-Way Swing, DigiQ Hepta Sensor, Blue Fins,Turbo Cool, Self Clean Technology (IA518ZXUS, White))"/>
    <x v="9"/>
    <n v="47490"/>
    <n v="75000"/>
    <n v="0.36699999999999999"/>
    <n v="4.2"/>
    <n v="19"/>
    <n v="1"/>
    <b v="0"/>
    <b v="0"/>
    <b v="0"/>
    <b v="0"/>
    <d v="2026-06-05T00:00:00"/>
    <n v="79.8"/>
  </r>
  <r>
    <s v="B0GRTMHWLD"/>
    <s v="Sharp 1 Ton 3 star, New Star Rated,Split AC (4 Way Swing, 100% copper, Hi-Tech Inverter Compressor, 7in1 Convertible, Turbo cool, Dust filter) - AH-SI12V3B-GCN, White"/>
    <x v="9"/>
    <n v="27940"/>
    <m/>
    <m/>
    <n v="3.7"/>
    <n v="29"/>
    <n v="1"/>
    <b v="0"/>
    <b v="0"/>
    <b v="0"/>
    <b v="0"/>
    <d v="2026-06-05T00:00:00"/>
    <n v="107.30000000000001"/>
  </r>
  <r>
    <s v="B0GHYMPNZ9"/>
    <s v="Samsung 1 Ton 3 Star,New Star rated Bespoke AI Inverter Smart Split AC (WiFi, Energy Saving, Voice Control, Powerful Cooling, Copper, Digital Inverter, 4 Way swing, white, AR50H12D1LHNNA)"/>
    <x v="9"/>
    <n v="33490"/>
    <n v="67990"/>
    <n v="0.50700000000000001"/>
    <n v="4.0999999999999996"/>
    <n v="96"/>
    <n v="1"/>
    <b v="0"/>
    <b v="0"/>
    <b v="0"/>
    <b v="0"/>
    <d v="2026-06-05T00:00:00"/>
    <n v="393.59999999999997"/>
  </r>
  <r>
    <s v="B0DR2YG4FF"/>
    <s v="Godrej 1 Ton 3 Star,New star rated,5 Years Comprehensive Warranty,AI Powered, 5-In-1 Convertible Cooling, Inverter Split AC (Copper,Model,Heavy duty cooling at 52 Â°C, AC1T EI 12PINV3R32 WYQ 3S,White)"/>
    <x v="9"/>
    <n v="26490"/>
    <m/>
    <m/>
    <n v="3.4"/>
    <n v="443"/>
    <n v="1"/>
    <b v="0"/>
    <b v="0"/>
    <b v="0"/>
    <b v="0"/>
    <d v="2026-06-05T00:00:00"/>
    <n v="1506.2"/>
  </r>
  <r>
    <s v="B0GPWXCGV1"/>
    <s v="Daikin 1.0 Ton 3 Star, New Star rated, Inverter Split AC (Copper, PM2.5 Filter, MTKL35XV16, White)"/>
    <x v="9"/>
    <n v="33490"/>
    <n v="48500"/>
    <n v="0.309"/>
    <n v="3.8"/>
    <n v="56"/>
    <n v="1"/>
    <b v="0"/>
    <b v="0"/>
    <b v="0"/>
    <b v="0"/>
    <d v="2026-06-05T00:00:00"/>
    <n v="212.79999999999998"/>
  </r>
  <r>
    <s v="B0DSJ9J3PY"/>
    <s v="Whirlpool 1.5 Ton 5 Star, Magicool Inverter Split AC (MAGICOOL 15T 5S INV CNV S5K2PP0, Copper, Convertible 4-in-1 Cooling Mode, HD Filter White)"/>
    <x v="9"/>
    <n v="36950"/>
    <n v="75000"/>
    <n v="0.50700000000000001"/>
    <n v="3.5"/>
    <n v="877"/>
    <n v="1"/>
    <b v="0"/>
    <b v="0"/>
    <b v="0"/>
    <b v="0"/>
    <d v="2026-06-05T00:00:00"/>
    <n v="3069.5"/>
  </r>
  <r>
    <s v="B0GHR4CZK4"/>
    <s v="Panasonic 1.5 Ton 5 Star, New star rated,Inverter Premium Window AC (Top Throw Airflow, 50Â°C Oper., Copper Cond., 8in1 Convertible, 4-Way, PM0.1 Filter, ECO Mode, Powerful Mode, CW-XU185CGT, White)"/>
    <x v="9"/>
    <n v="39289"/>
    <n v="60990"/>
    <n v="0.35599999999999998"/>
    <n v="4.4000000000000004"/>
    <n v="16"/>
    <n v="1"/>
    <b v="0"/>
    <b v="0"/>
    <b v="0"/>
    <b v="0"/>
    <d v="2026-06-05T00:00:00"/>
    <n v="70.400000000000006"/>
  </r>
  <r>
    <s v="B0CWVDN3HZ"/>
    <s v="Voltas 185V Vectra CAR 1.5 ton 5 star,New star rated, inverter Split AC|4-IN-1 Adjustable modeHigh ambient Cooling-cools even at 52Â°C|Anti dust filter with Anti-microbial coating|Copper Coil|White"/>
    <x v="9"/>
    <n v="39990"/>
    <n v="83999"/>
    <n v="0.52400000000000002"/>
    <n v="3.7"/>
    <n v="1050"/>
    <n v="1"/>
    <b v="0"/>
    <b v="0"/>
    <b v="0"/>
    <b v="0"/>
    <d v="2026-06-05T00:00:00"/>
    <n v="3885"/>
  </r>
  <r>
    <s v="B0CDHBG4TT"/>
    <s v="Hitachi 1.5 Ton 3 Star Hot &amp;amp; Cold Inverter Split AC with Expandable Technology (100% Copper, Dust Filter, 3100HP RSQG318HGXA, White)"/>
    <x v="9"/>
    <n v="37400"/>
    <m/>
    <m/>
    <n v="4.0999999999999996"/>
    <n v="85"/>
    <n v="1"/>
    <b v="0"/>
    <b v="0"/>
    <b v="0"/>
    <b v="0"/>
    <d v="2026-06-05T00:00:00"/>
    <n v="348.49999999999994"/>
  </r>
  <r>
    <s v="B0GCDZ3BSK"/>
    <s v="Carrier 1.5 Ton 5 Star, New Star rated, Flexicool Inverter Split AC (Copper, Convertible 6-in-1 with Smart Energy Display, Insta Cool, Auto Clean and PM 2.5 Filter, ESTER EDGE Gxi-CAI18EE5R36F0, White)"/>
    <x v="9"/>
    <n v="45990"/>
    <n v="75590"/>
    <n v="0.39200000000000002"/>
    <n v="4"/>
    <n v="131"/>
    <n v="1"/>
    <b v="0"/>
    <b v="0"/>
    <b v="0"/>
    <b v="0"/>
    <d v="2026-06-05T00:00:00"/>
    <n v="524"/>
  </r>
  <r>
    <s v="B0GHQTWCZ6"/>
    <s v="Panasonic 2.0 Ton 4 Star New Star rated Premium WiFi Inverter Smart Split AC (DustBuster Tech,Matter Enabled,AI,Higher Airflow, Copper Cond., 8in1 Convertible,4-Way,PM0.1 Filter,CS/CU-NU24BKY4W,White)"/>
    <x v="9"/>
    <n v="61989"/>
    <n v="79500"/>
    <n v="0.22"/>
    <n v="3.8"/>
    <n v="26"/>
    <n v="1"/>
    <b v="0"/>
    <b v="0"/>
    <b v="0"/>
    <b v="0"/>
    <d v="2026-06-05T00:00:00"/>
    <n v="98.8"/>
  </r>
  <r>
    <s v="B0GP736CV2"/>
    <s v="Hitachi 1.5 Ton 5 Star, New star rated, Inverter Split AC (Copper,Wi-Fi, 4 Way Swing, Hybrid Convertible, ice Clean cooling, Anti-bacterial Mesh Filter,RAS.V518PCDIBM1, White)"/>
    <x v="9"/>
    <n v="45999"/>
    <n v="80990"/>
    <n v="0.432"/>
    <n v="3.6"/>
    <n v="29"/>
    <n v="1"/>
    <b v="0"/>
    <b v="0"/>
    <b v="0"/>
    <b v="0"/>
    <d v="2026-06-05T00:00:00"/>
    <n v="104.4"/>
  </r>
  <r>
    <s v="B0GNZ9J864"/>
    <s v="Samsung 1.5Ton 5Star,New Star rated, Bespoke AI Inverter Smart Split AC (Wifi, Energy Saving, Voice Control, Powerful Cooling, Copper, Digital Inverter, 4 Way swing, White,AR50H18D1NHNNA)"/>
    <x v="9"/>
    <n v="48490"/>
    <n v="87990"/>
    <n v="0.44900000000000001"/>
    <n v="3.8"/>
    <n v="16"/>
    <n v="2"/>
    <b v="0"/>
    <b v="0"/>
    <b v="0"/>
    <b v="0"/>
    <d v="2026-06-05T00:00:00"/>
    <n v="60.8"/>
  </r>
  <r>
    <s v="B0GSJLWC8B"/>
    <s v="IFB 1.5Ton 5Star,New star rated,AI Powered Inverter Split Air Conditioner,Hybrid Mode, 8in1 Flexi Mode,Heavy Duty Compressor,Self Clean, Dual Gold Fins,100% Copper Tubes,CI195GD32RGM3, white"/>
    <x v="9"/>
    <n v="42990"/>
    <n v="74990"/>
    <n v="0.42699999999999999"/>
    <n v="4.0999999999999996"/>
    <n v="38"/>
    <n v="2"/>
    <b v="0"/>
    <b v="0"/>
    <b v="0"/>
    <b v="0"/>
    <d v="2026-06-05T00:00:00"/>
    <n v="155.79999999999998"/>
  </r>
  <r>
    <s v="B0GCDHG1FX"/>
    <s v="Carrier 2 T 5Star,New Star rated,Wi-Fi Smart Flexicool Inverter Split AC(Copper,Convertible6-in-1withWi-Fi with Geo-Fencing,Smart EnergyDisplay,New star Rating,ESTER EDGE Gxi WiFi-CAI24EE5R36W1,White)"/>
    <x v="9"/>
    <n v="58989"/>
    <n v="91690"/>
    <n v="0.35699999999999998"/>
    <n v="4"/>
    <n v="85"/>
    <n v="1"/>
    <b v="0"/>
    <b v="0"/>
    <b v="0"/>
    <b v="0"/>
    <d v="2026-06-05T00:00:00"/>
    <n v="340"/>
  </r>
  <r>
    <s v="B0DQTDJ5MD"/>
    <s v="Hitachi 1.5 Ton 5 Star, New star rated, Xpandable+ Inverter Split AC (100% Copper, Smart Display, 4-Way Swing, ice Clean, Dust Filter, 5400STXL RAS.G518PCCIBT, White)"/>
    <x v="9"/>
    <n v="44690"/>
    <m/>
    <m/>
    <n v="4"/>
    <n v="775"/>
    <n v="3"/>
    <b v="0"/>
    <b v="0"/>
    <b v="0"/>
    <b v="0"/>
    <d v="2026-06-05T00:00:00"/>
    <n v="3100"/>
  </r>
  <r>
    <s v="B0G9SR834W"/>
    <s v="Samsung 1.5 Ton 3 Star,New Star rated, Bespoke AI Inverter Smart Split AC (WiFi, Energy Saving,Voice Control,Powerful Cooling,Copper, Digital Inverter, 4 Way swing, White, AR50H18D13HNNA)"/>
    <x v="9"/>
    <n v="35490"/>
    <n v="78990"/>
    <n v="0.55100000000000005"/>
    <n v="3.7"/>
    <n v="1830"/>
    <n v="1"/>
    <b v="0"/>
    <b v="0"/>
    <b v="0"/>
    <b v="0"/>
    <d v="2026-06-05T00:00:00"/>
    <n v="6771"/>
  </r>
  <r>
    <s v="B0GS286N2M"/>
    <s v="Blue Star 2 Ton 3 Star, New Star Rated, Smart Inverter Split AC (Copper,4-Way Swing, DigiQ Hepta Sensor, Blue Fins,Turbo Cool, Self Clean Technology (IA322DXU, White)"/>
    <x v="9"/>
    <n v="48950"/>
    <n v="84990"/>
    <n v="0.42399999999999999"/>
    <n v="4.4000000000000004"/>
    <n v="23"/>
    <n v="8"/>
    <b v="0"/>
    <b v="0"/>
    <b v="0"/>
    <b v="0"/>
    <d v="2026-06-05T00:00:00"/>
    <n v="101.2"/>
  </r>
  <r>
    <s v="B0GKMP6VYS"/>
    <s v="Lloyd 1.5 Ton 5 Star Inverter Split AC, 2026 New Star Rated (6 in 1 Convertible, Cools Up To 54Â°C, DG Mode, Ice Clean, Smart 4 Way Swing, Turbo Cool, Installation Check, White, GLS18I5AGGGW)"/>
    <x v="9"/>
    <n v="43990"/>
    <n v="66990"/>
    <n v="0.34300000000000003"/>
    <n v="3.1"/>
    <n v="26"/>
    <n v="1"/>
    <b v="0"/>
    <b v="0"/>
    <b v="0"/>
    <b v="0"/>
    <d v="2026-06-05T00:00:00"/>
    <n v="80.600000000000009"/>
  </r>
  <r>
    <s v="B0GYT9CTX1"/>
    <s v="LG 1 Ton 5 Star, New star rated, Smart Inverter Split AC (Copper, AI Convertible 6-in-1 Cooling, Faster Cooling &amp;amp; Energy Saving, HD Filter with Anti-Virus Protection, Him Clean, AS-Q14YNZE, White)"/>
    <x v="9"/>
    <n v="42690"/>
    <n v="82390"/>
    <n v="0.48199999999999998"/>
    <m/>
    <n v="0"/>
    <n v="1"/>
    <b v="0"/>
    <b v="0"/>
    <b v="0"/>
    <b v="0"/>
    <d v="2026-06-05T00:00:00"/>
    <s v=""/>
  </r>
  <r>
    <s v="B0H1S4RH9H"/>
    <s v="SWANKK WiFi Mini Hidden Spy Camera, 1080P HD, Night Vision, Motion Detection, Wireless Indoor Nanny Cam with Remote Viewing"/>
    <x v="10"/>
    <n v="599"/>
    <n v="1299"/>
    <n v="0.53900000000000003"/>
    <n v="3"/>
    <n v="2"/>
    <n v="1"/>
    <b v="0"/>
    <b v="0"/>
    <b v="0"/>
    <b v="0"/>
    <d v="2026-06-05T00:00:00"/>
    <n v="6"/>
  </r>
  <r>
    <s v="B0DQY9DPXR"/>
    <s v="Toy Imagine Kids Digital Camera Toy 3.0MP 1080P Video Camera with 2-Inch Screen &amp;amp; 32GB Capacity USB Rechargeable with Games,Filters,Time-Lapse Educational Birthday Gift for Boys &amp;amp; Girls Age 3â€“12(Blue)"/>
    <x v="10"/>
    <n v="611"/>
    <n v="999"/>
    <n v="0.38800000000000001"/>
    <n v="3.6"/>
    <n v="915"/>
    <n v="1"/>
    <b v="0"/>
    <b v="0"/>
    <b v="0"/>
    <b v="0"/>
    <d v="2026-06-05T00:00:00"/>
    <n v="3294"/>
  </r>
  <r>
    <s v="B0F2GBXRYQ"/>
    <s v="Cason 48MP Digital Camera for Kids &amp;amp; Adults -Real Photo &amp;amp; Video Mini Camera for Photography 2.4â€ Rotating Screen, Built in Games Kids Cameras for 5-15 Years Girls &amp;amp; Boys with 8 GB Sd Card (Pink)"/>
    <x v="10"/>
    <n v="2499"/>
    <n v="4995"/>
    <n v="0.5"/>
    <n v="4.2"/>
    <n v="217"/>
    <n v="1"/>
    <b v="0"/>
    <b v="0"/>
    <b v="1"/>
    <b v="0"/>
    <d v="2026-06-05T00:00:00"/>
    <n v="911.40000000000009"/>
  </r>
  <r>
    <s v="B0BWK7KGNF"/>
    <s v="TECHNOVIEW Full HD Wi-Fi Wireless Security Camera 1080p Audio Video Live View Low Light Vision Motion Detection Video Recorder for Home Office. (IP Camera)"/>
    <x v="10"/>
    <n v="749"/>
    <n v="2999"/>
    <n v="0.75"/>
    <n v="3"/>
    <n v="1080"/>
    <n v="1"/>
    <b v="0"/>
    <b v="0"/>
    <b v="0"/>
    <b v="0"/>
    <d v="2026-06-05T00:00:00"/>
    <n v="3240"/>
  </r>
  <r>
    <s v="B0G1C2TGWX"/>
    <s v="Storio Kids Digital Camera Toy 3.0MP 1080P HD Video Camera with 2-Inch Screen | USB Rechargeable Mini Camera | Educational Toy &amp;amp; Birthday Gift for Boys &amp;amp; Girls Age 3â€“12 | Supports 32GB SD Card - Blue"/>
    <x v="10"/>
    <n v="567"/>
    <n v="1399"/>
    <n v="0.59499999999999997"/>
    <n v="3.8"/>
    <n v="316"/>
    <n v="1"/>
    <b v="0"/>
    <b v="0"/>
    <b v="0"/>
    <b v="0"/>
    <d v="2026-06-05T00:00:00"/>
    <n v="1200.8"/>
  </r>
  <r>
    <s v="B0FNRV6X18"/>
    <s v="CP PLUS 2MP Full HD Wi-Fi CCTV Camera for Home with Motion Tracking | Smart Detection Suite | Night Vision | Cloud Recording | View &amp;amp; Talk | Supports OK Google | CTC Cyber Secure | CP-E25Q"/>
    <x v="10"/>
    <n v="1999"/>
    <n v="2700"/>
    <n v="0.26"/>
    <n v="3.7"/>
    <n v="15051"/>
    <n v="1"/>
    <b v="0"/>
    <b v="0"/>
    <b v="0"/>
    <b v="1"/>
    <d v="2026-06-05T00:00:00"/>
    <n v="55688.700000000004"/>
  </r>
  <r>
    <s v="B0GLGLRD9Z"/>
    <s v="Codnida Spy Camera Pen HD Video Recording with Audio | Hidden Recording Pen for Meetings &amp;amp; Security | Portable Pen Camera with Long Battery Life | Discreet Spy Pen Camera for Indoor &amp;amp; Outdoor Use"/>
    <x v="10"/>
    <n v="1599"/>
    <n v="2799"/>
    <n v="0.42899999999999999"/>
    <n v="4.2"/>
    <n v="2585"/>
    <n v="1"/>
    <b v="0"/>
    <b v="0"/>
    <b v="0"/>
    <b v="0"/>
    <d v="2026-06-05T00:00:00"/>
    <n v="10857"/>
  </r>
  <r>
    <s v="B0FL2P622N"/>
    <s v="CP PLUS 3MP Resolution Smart Wi-fi CCTV Home Security Camera | 360Â° View | Motion Tracking | 2-Way Talk | Cloud &amp;amp; SD Card Support | CTC Cyber Secure Tech | 15M Night Vision | CP-E31Q"/>
    <x v="10"/>
    <n v="2199"/>
    <n v="2800"/>
    <n v="0.215"/>
    <n v="3.8"/>
    <n v="294"/>
    <n v="1"/>
    <b v="0"/>
    <b v="0"/>
    <b v="0"/>
    <b v="1"/>
    <d v="2026-06-05T00:00:00"/>
    <n v="1117.2"/>
  </r>
  <r>
    <s v="B0GZV2SYGM"/>
    <s v="Dr Vision 5MP Indoor WiFi Smart CCTV Camera for Home | 1080p HD | Color Night Vision | Motion Detection | Two Way Audio | Wireless Home Security Camera with Mobile App V380 Pro (CV Dual Lens)"/>
    <x v="10"/>
    <n v="1879"/>
    <n v="8999"/>
    <n v="0.79100000000000004"/>
    <n v="2.7"/>
    <n v="4"/>
    <n v="1"/>
    <b v="0"/>
    <b v="0"/>
    <b v="0"/>
    <b v="0"/>
    <d v="2026-06-05T00:00:00"/>
    <n v="10.8"/>
  </r>
  <r>
    <s v="B0G64G64YL"/>
    <s v="Qubo Smart Cam 360Â° 3MP [2026 Edition] by Hero Group | STQC Certified | AI Person Detection | Intruder Alarm | Color Night Vision | Two-Way Talk | Records Directly on Cloud | No SD Card Required"/>
    <x v="10"/>
    <n v="2490"/>
    <n v="3990"/>
    <n v="0.376"/>
    <n v="3.8"/>
    <n v="3495"/>
    <n v="1"/>
    <b v="0"/>
    <b v="0"/>
    <b v="0"/>
    <b v="0"/>
    <d v="2026-06-05T00:00:00"/>
    <n v="13281"/>
  </r>
  <r>
    <s v="B0GNKW2XT6"/>
    <s v="Kids Digital Camera | 1080p Video &amp;amp; 3.0MP Photos | 2-Inch Screen, USB Rechargeable &amp;amp; Portable | Fun Mini Toy Camera for Boys &amp;amp; Girls Age 3â€“10 | Educational Birthday Gift"/>
    <x v="10"/>
    <n v="499"/>
    <n v="1999"/>
    <n v="0.75"/>
    <n v="3.9"/>
    <n v="12"/>
    <n v="1"/>
    <b v="0"/>
    <b v="0"/>
    <b v="0"/>
    <b v="0"/>
    <d v="2026-06-05T00:00:00"/>
    <n v="46.8"/>
  </r>
  <r>
    <s v="B0FH5G1Z7P"/>
    <s v="CP Plus 2.4MP IR Wired Bullet Outdoor Camera CP-URC-TC24PL3 Compatible with DVR only | 3.6mm Lens | 30 Meter Black &amp;amp; White Night Vision | IP67 | Analog HD CCTV Camera, White"/>
    <x v="10"/>
    <n v="923"/>
    <n v="3400"/>
    <n v="0.72899999999999998"/>
    <n v="3.9"/>
    <n v="280"/>
    <n v="15"/>
    <b v="0"/>
    <b v="0"/>
    <b v="0"/>
    <b v="0"/>
    <d v="2026-06-05T00:00:00"/>
    <n v="1092"/>
  </r>
  <r>
    <s v="B0GLGSTCDP"/>
    <s v="DDLC 5MP Indoor WiFi Smart CCTV Camera for Home | 1080p HD | Color Night Vision | Motion Detection | Two Way Audio | Wireless Home Security Camera with Mobile App V380 Pro (Upro Dual Lens)"/>
    <x v="10"/>
    <n v="1989"/>
    <n v="3999"/>
    <n v="0.503"/>
    <n v="4.5999999999999996"/>
    <n v="14"/>
    <n v="1"/>
    <b v="0"/>
    <b v="0"/>
    <b v="0"/>
    <b v="0"/>
    <d v="2026-06-05T00:00:00"/>
    <n v="64.399999999999991"/>
  </r>
  <r>
    <s v="B0C8HCLQVC"/>
    <s v="Canon EOS R100 24.1 MP Mirrorless Camera (Black) with RF-S18-45mm f/4.5-6.3 is STM Optical Zoom Lens | 4k Video"/>
    <x v="10"/>
    <n v="42990"/>
    <n v="64995"/>
    <n v="0.33900000000000002"/>
    <n v="4"/>
    <n v="100"/>
    <n v="1"/>
    <b v="0"/>
    <b v="0"/>
    <b v="0"/>
    <b v="0"/>
    <d v="2026-06-05T00:00:00"/>
    <n v="400"/>
  </r>
  <r>
    <s v="B0C783YNW7"/>
    <s v="DJI Osmo Action 4 Standard Combo - 4K/120Fps Waterproof Action Digital Camera with A 1/1.3-Inch Sensor, 10-Bit &amp;amp; D-Log M Color Performance, Outdoor Digital Camera for Travel, Biking"/>
    <x v="10"/>
    <n v="24990"/>
    <n v="44999"/>
    <n v="0.44500000000000001"/>
    <n v="4.5999999999999996"/>
    <n v="4487"/>
    <n v="1"/>
    <b v="0"/>
    <b v="0"/>
    <b v="0"/>
    <b v="0"/>
    <d v="2026-06-05T00:00:00"/>
    <n v="20640.199999999997"/>
  </r>
  <r>
    <s v="B0CHZ1HF2Q"/>
    <s v="CADDLE &amp;amp; TOES Kids Camera for Girls Boys,Kids Selfie Camera 13MP 1080P HD Digital Video Camera for Toddler,Christmas Birthday Gifts for 4+ to15 Years Old Children (Pink)"/>
    <x v="10"/>
    <n v="548"/>
    <n v="1999"/>
    <n v="0.72599999999999998"/>
    <n v="3.4"/>
    <n v="372"/>
    <n v="1"/>
    <b v="0"/>
    <b v="0"/>
    <b v="0"/>
    <b v="0"/>
    <d v="2026-06-05T00:00:00"/>
    <n v="1264.8"/>
  </r>
  <r>
    <s v="B0FH5H1144"/>
    <s v="CP PLUS 2.4MP Full HD IP Indoor Wired Dome Camera CP-URC-DC24PL3 Compatible with DVR only | 30 Meters IR Black &amp;amp; White Night Vision | 3.6mm Lens | Motion Detection, White"/>
    <x v="10"/>
    <n v="919"/>
    <n v="1900"/>
    <n v="0.51600000000000001"/>
    <n v="3.8"/>
    <n v="258"/>
    <n v="1"/>
    <b v="0"/>
    <b v="0"/>
    <b v="0"/>
    <b v="0"/>
    <d v="2026-06-05T00:00:00"/>
    <n v="980.4"/>
  </r>
  <r>
    <s v="B0FMRJZT33"/>
    <s v="CP PLUS 4MP Quad HD Smart Wi-Fi CCTV Camera | 360Â° Pan &amp;amp; Tilt | Press to Call | CTC Cyber Secure Tech | Smart Detection Suite | View &amp;amp; Talk | IR Night Vision | Cloud Recording | OK Google | CP-E44Q"/>
    <x v="10"/>
    <n v="2699"/>
    <n v="4600"/>
    <n v="0.41299999999999998"/>
    <n v="3.4"/>
    <n v="252"/>
    <n v="1"/>
    <b v="0"/>
    <b v="0"/>
    <b v="0"/>
    <b v="1"/>
    <d v="2026-06-05T00:00:00"/>
    <n v="856.8"/>
  </r>
  <r>
    <s v="B0FKMLFTY8"/>
    <s v="Sony Alpha ZV-E10K (Previously ZV-E10L) with Upgraded SELP1650 (Ver 2) Power Zoom Lens | 24.2 MP Interchangeable-Lens Mirrorless vlog Camera, Made for Creators |APS-C Sensor 4K Movie Recording-Black"/>
    <x v="10"/>
    <n v="63990"/>
    <n v="72990"/>
    <n v="0.123"/>
    <n v="4.5999999999999996"/>
    <n v="39"/>
    <n v="1"/>
    <b v="0"/>
    <b v="0"/>
    <b v="0"/>
    <b v="0"/>
    <d v="2026-06-05T00:00:00"/>
    <n v="179.39999999999998"/>
  </r>
  <r>
    <s v="B0FK4RND9C"/>
    <s v="CP PLUS 3MP Smart Wi-Fi CCTV Camera | 360Â° Pan &amp;amp; Tilt | CTC Cyber Secure Tech | View &amp;amp; Talk | Smart Detection Suite | Night Vision | Cloud Storage | Supports OK Google | CP-E35Q"/>
    <x v="10"/>
    <n v="2199"/>
    <n v="3500"/>
    <n v="0.372"/>
    <n v="3.3"/>
    <n v="598"/>
    <n v="1"/>
    <b v="0"/>
    <b v="0"/>
    <b v="0"/>
    <b v="1"/>
    <d v="2026-06-05T00:00:00"/>
    <n v="1973.3999999999999"/>
  </r>
  <r>
    <s v="B0FHQ9Q53J"/>
    <s v="Toy Imagine Kids Digital Camera 1080p Video &amp;amp; 5.0MP Photos 2-Inch Screen, USB Rechargeable &amp;amp; Portable Fun Mini Toy Camera for Boys &amp;amp; Girls Age 3â€“10 Educational Birthday Gift(Blue)SD Card Not Included"/>
    <x v="10"/>
    <n v="589"/>
    <n v="799"/>
    <n v="0.26300000000000001"/>
    <n v="3.7"/>
    <n v="104"/>
    <n v="1"/>
    <b v="0"/>
    <b v="0"/>
    <b v="0"/>
    <b v="0"/>
    <d v="2026-06-05T00:00:00"/>
    <n v="384.8"/>
  </r>
  <r>
    <s v="B0GXZBY1GZ"/>
    <s v="WiFi Camera 360Â° Security Camera for Home Outdoor High HD Magnet Mini Spy WiFi Magnetic Live Stream Night Vision IP Wireless 1080P Audio Video Hidden CCTV Magne"/>
    <x v="10"/>
    <n v="899"/>
    <n v="4999"/>
    <n v="0.82"/>
    <n v="3.2"/>
    <n v="19"/>
    <n v="1"/>
    <b v="0"/>
    <b v="0"/>
    <b v="0"/>
    <b v="0"/>
    <d v="2026-06-05T00:00:00"/>
    <n v="60.800000000000004"/>
  </r>
  <r>
    <s v="B0G64NW2KQ"/>
    <s v="Qubo Smart 360Â° 3MP [2K] Wi-Fi Security Camera [2026 Edition] by Hero Group | Indoor CCTV Cam for Home | STQC Certified | AI Person Detection | Color Night Vision | SD&amp;amp;Cloud Storage (Pack of 2)"/>
    <x v="10"/>
    <n v="4990"/>
    <n v="7580"/>
    <n v="0.34200000000000003"/>
    <n v="3.8"/>
    <n v="168"/>
    <n v="1"/>
    <b v="0"/>
    <b v="0"/>
    <b v="0"/>
    <b v="0"/>
    <d v="2026-06-05T00:00:00"/>
    <n v="638.4"/>
  </r>
  <r>
    <s v="B0BCW1S7XR"/>
    <s v="insta360 X3 Action Camera, 1/2&amp;quot; Sensor, 5.7K 360 Capture, Optical Zoom 3X, 72 MP 360 Photo, 4K Single Lens Mode, Black"/>
    <x v="10"/>
    <n v="25990"/>
    <n v="51999"/>
    <n v="0.5"/>
    <n v="4.3"/>
    <n v="1524"/>
    <n v="1"/>
    <b v="0"/>
    <b v="0"/>
    <b v="0"/>
    <b v="0"/>
    <d v="2026-06-05T00:00:00"/>
    <n v="6553.2"/>
  </r>
  <r>
    <s v="B0D1YH4B2R"/>
    <s v="DJI Osmo Action 5 Pro Standard Combo, Waterproof Camera with 1/1.3&amp;quot; Sensor, 4K/120fps Video, Subject Tracking, Stabilization, Dual OLED Touchscreens, Action Camera 4K Ideal for Sports, Vlog"/>
    <x v="10"/>
    <n v="35990"/>
    <n v="40990"/>
    <n v="0.122"/>
    <n v="4.5"/>
    <n v="1691"/>
    <n v="1"/>
    <b v="0"/>
    <b v="0"/>
    <b v="0"/>
    <b v="0"/>
    <d v="2026-06-05T00:00:00"/>
    <n v="7609.5"/>
  </r>
  <r>
    <s v="B0DFY77JNM"/>
    <s v="Maizic Smarthome Dual Lens Mini Fox | 5+5MP WiFi CCTV Camera with PTZ &amp;amp; Fixed View | AI Motion Detection, Color Night Vision, Two-Way Audio, 360ï¿½ Coverage, App Remote Access"/>
    <x v="10"/>
    <n v="1697"/>
    <n v="4399"/>
    <n v="0.61399999999999999"/>
    <n v="3.5"/>
    <n v="714"/>
    <n v="1"/>
    <b v="0"/>
    <b v="0"/>
    <b v="0"/>
    <b v="0"/>
    <d v="2026-06-05T00:00:00"/>
    <n v="2499"/>
  </r>
  <r>
    <s v="B0GXVQQK3P"/>
    <s v="DDLC 5MP Indoor WiFi Smart CCTV Camera for Home | 360Â° Pan Tilt | Color Night Vision | Motion Detection | Two Way Audio | Wireless Home Security Camera with Mobile App V380 Pro (Upro Dual Lens)"/>
    <x v="10"/>
    <n v="1989"/>
    <n v="3999"/>
    <n v="0.503"/>
    <n v="1.9"/>
    <n v="4"/>
    <n v="1"/>
    <b v="0"/>
    <b v="0"/>
    <b v="0"/>
    <b v="0"/>
    <d v="2026-06-05T00:00:00"/>
    <n v="7.6"/>
  </r>
  <r>
    <s v="B0G1XY42W7"/>
    <s v="1080P Body Camera Pen [Upgraded 2026] â€“ Body Cam with HD Video or Picture Taking, SD Card Storage, and Manual Control for Privacy Compliance"/>
    <x v="10"/>
    <n v="1649"/>
    <n v="2499"/>
    <n v="0.34"/>
    <n v="4.7"/>
    <n v="4"/>
    <n v="1"/>
    <b v="0"/>
    <b v="0"/>
    <b v="0"/>
    <b v="0"/>
    <d v="2026-06-05T00:00:00"/>
    <n v="18.8"/>
  </r>
  <r>
    <s v="B0CYGYCRH8"/>
    <s v="Qubo Smart 360Â° 3MP [2K] CCTV Camera | Wi-Fi Indoor Home Security Cam | STQC Certified | AI Person Detection | Automatic Alarm | App Alerts | NightPulse Vision | SD &amp;amp; Cloud Storage | Made in India"/>
    <x v="10"/>
    <n v="2490"/>
    <n v="4490"/>
    <n v="0.44500000000000001"/>
    <n v="3.6"/>
    <n v="5120"/>
    <n v="2"/>
    <b v="0"/>
    <b v="0"/>
    <b v="0"/>
    <b v="1"/>
    <d v="2026-06-05T00:00:00"/>
    <n v="18432"/>
  </r>
  <r>
    <s v="B0DTK5596V"/>
    <s v="Sony New Alpha ILCE-6100X (Previously ILCE-6100Y) with Upgraded SELP1650 (Ver 2) Power Zoom Lens + SEL55210 Lens | 24.2 MP | APS-C Sensor | Fast Auto Focus | Tiltable LCD â€“ Black"/>
    <x v="10"/>
    <n v="76490"/>
    <n v="89990"/>
    <n v="0.15"/>
    <n v="4.5999999999999996"/>
    <n v="90"/>
    <n v="1"/>
    <b v="0"/>
    <b v="0"/>
    <b v="0"/>
    <b v="0"/>
    <d v="2026-06-05T00:00:00"/>
    <n v="413.99999999999994"/>
  </r>
  <r>
    <s v="B0CG19FGQ5"/>
    <s v="DJI Osmo Pocket 3 Creator Combo, Vlogging Camera with 1&amp;#x27;&amp;#x27; CMOS &amp;amp; 4K/120fps Video, 3-Axis Stabilization, Face/Object Tracking, Fast Focusing, Mic Included for Clear Sound, Small Camera for Photography"/>
    <x v="10"/>
    <n v="59134"/>
    <n v="74990"/>
    <n v="0.21099999999999999"/>
    <n v="4.4000000000000004"/>
    <n v="6218"/>
    <n v="1"/>
    <b v="0"/>
    <b v="0"/>
    <b v="0"/>
    <b v="0"/>
    <d v="2026-06-05T00:00:00"/>
    <n v="27359.200000000001"/>
  </r>
  <r>
    <s v="B0DJC4NBV8"/>
    <s v="Fujifilm X-M5 26.1MP APS-C X-Trans CMOS 4 with 15-45 f/3.5-5.6 Lens|Retro Style mirrorless Compact Travel Camera|6.2k vlogging|High Speed Recording FHD 240fps|Advance AF for Street/Lifestyle - Silver"/>
    <x v="10"/>
    <n v="88000"/>
    <n v="94999"/>
    <n v="7.3999999999999996E-2"/>
    <n v="4.5"/>
    <n v="143"/>
    <n v="1"/>
    <b v="0"/>
    <b v="0"/>
    <b v="0"/>
    <b v="0"/>
    <d v="2026-06-05T00:00:00"/>
    <n v="643.5"/>
  </r>
  <r>
    <s v="B0GKG3TLF3"/>
    <s v="Waitbird USB Charger Mini Hidden Camera 1080p Full HD Plug &amp;amp; Play Spy Cam | Secret Camera for Home Hidden &amp;amp; Office Use | Mini Spy Camera Works While Charging | Supports 256GB â€“ Security Surveillance"/>
    <x v="10"/>
    <n v="1599"/>
    <n v="3299"/>
    <n v="0.51500000000000001"/>
    <n v="4.3"/>
    <n v="4795"/>
    <n v="1"/>
    <b v="0"/>
    <b v="0"/>
    <b v="0"/>
    <b v="0"/>
    <d v="2026-06-05T00:00:00"/>
    <n v="20618.5"/>
  </r>
  <r>
    <s v="B0BLLCJ963"/>
    <s v="KODAK PIXPRO AZ405-BK 20MP Digital Camera 40X Optical Zoom 24mm Wide Angle Lens Optical Image Stabilization 1080P Full HD Video 3&amp;quot; LCD Vlogging Camera (Black)"/>
    <x v="10"/>
    <n v="28499"/>
    <n v="39999"/>
    <n v="0.28799999999999998"/>
    <n v="4"/>
    <n v="1034"/>
    <n v="1"/>
    <b v="0"/>
    <b v="0"/>
    <b v="0"/>
    <b v="0"/>
    <d v="2026-06-05T00:00:00"/>
    <n v="4136"/>
  </r>
  <r>
    <s v="B0GVJNKCTW"/>
    <s v="JB Supar 6MP Smart WiFi Dual Lens Outdoor PTZ CCTV Camera | 360Â° View | Full HD | Color Night Vision | Two Way Audio | Wireless Home Security Camera with Mobile App V380 Pro (Dual Lens PTZ)"/>
    <x v="10"/>
    <n v="2979"/>
    <n v="4999"/>
    <n v="0.40400000000000003"/>
    <n v="4"/>
    <n v="2"/>
    <n v="1"/>
    <b v="0"/>
    <b v="0"/>
    <b v="0"/>
    <b v="0"/>
    <d v="2026-06-05T00:00:00"/>
    <n v="8"/>
  </r>
  <r>
    <s v="B0GXYYQJ2M"/>
    <s v="Godrej Security Solutions EVE Pro 3 Indoor Wi-Fi CCTV Camera | New Launch | 3MP Night Vision | 360 View | Human Detection &amp;amp; Motion Tracking | 2-Way Talk | Up to 256GB SD Card Support"/>
    <x v="10"/>
    <n v="2410"/>
    <n v="2799"/>
    <n v="0.13900000000000001"/>
    <n v="2.7"/>
    <n v="16"/>
    <n v="1"/>
    <b v="0"/>
    <b v="0"/>
    <b v="0"/>
    <b v="0"/>
    <d v="2026-06-05T00:00:00"/>
    <n v="43.2"/>
  </r>
  <r>
    <s v="B09B84729K"/>
    <s v="Leica SL2-S Mirrorless Digital Camera with Vario-Elmarit-SL 24-70 f/2.8 ASPH Lens (Bundle)"/>
    <x v="10"/>
    <n v="1117486"/>
    <n v="1409912"/>
    <n v="0.20699999999999999"/>
    <n v="5"/>
    <n v="5"/>
    <n v="1"/>
    <b v="0"/>
    <b v="0"/>
    <b v="0"/>
    <b v="0"/>
    <d v="2026-06-05T00:00:00"/>
    <n v="25"/>
  </r>
  <r>
    <s v="B0FN4RBZ6G"/>
    <s v="Kids Instant Print Camera â€“ Mini Digital HD Photo &amp;amp; Video Camcorder with Games | Fun Learning Toy for Boys &amp;amp; Girls Ages 4-18 | Includes 2 Print Rolls â€“ Ideal Gift for Kids (Blue)"/>
    <x v="10"/>
    <n v="1678"/>
    <n v="3999"/>
    <n v="0.57999999999999996"/>
    <n v="3.7"/>
    <n v="70"/>
    <n v="1"/>
    <b v="0"/>
    <b v="0"/>
    <b v="0"/>
    <b v="0"/>
    <d v="2026-06-05T00:00:00"/>
    <n v="259"/>
  </r>
  <r>
    <s v="B07NF5PT84"/>
    <s v="Sony Alpha ILCE-6400M 24.2MP Mirrorless Digital SLR Camera (Black) with 18-135mm Zoom Lens | APS-C Sensor |Real-Time Eye Auto Focus | 4K Vlogging Camera | Tiltable LCD - Black"/>
    <x v="10"/>
    <n v="91490"/>
    <n v="116490"/>
    <n v="0.215"/>
    <n v="4.7"/>
    <n v="195"/>
    <n v="1"/>
    <b v="0"/>
    <b v="0"/>
    <b v="0"/>
    <b v="0"/>
    <d v="2026-06-05T00:00:00"/>
    <n v="916.5"/>
  </r>
  <r>
    <s v="B07VGHW91J"/>
    <s v="Sony Alpha ILCE-7RM4A Full-Frame 61.0MP Mirrorless Digital SLR Camera Body (4K Full Frame, Real-Time Eye Auto Focus, Real time Animal Eye AF, Tiltable LCD) - Black"/>
    <x v="10"/>
    <n v="264990"/>
    <n v="297990"/>
    <n v="0.111"/>
    <n v="4.5999999999999996"/>
    <n v="245"/>
    <n v="1"/>
    <b v="0"/>
    <b v="0"/>
    <b v="0"/>
    <b v="0"/>
    <d v="2026-06-05T00:00:00"/>
    <n v="1127"/>
  </r>
  <r>
    <s v="B0GRH88VYL"/>
    <s v="DDLC 4+4MP Smart WiFi PTZ CCTV Camera for Home Indoor | 360Â° Pan &amp;amp; Tilt | Color Night Vision | Motion Detection | Two-Way Audio | Wireless Security Camera with Mobile App V380 Pro"/>
    <x v="10"/>
    <n v="1889"/>
    <n v="2999"/>
    <n v="0.37"/>
    <n v="3.9"/>
    <n v="12"/>
    <n v="1"/>
    <b v="0"/>
    <b v="0"/>
    <b v="0"/>
    <b v="0"/>
    <d v="2026-06-05T00:00:00"/>
    <n v="46.8"/>
  </r>
  <r>
    <s v="B0C3HXLYFS"/>
    <s v="HIKVISION 2Mp Indoor Wired Color Camera for Dvr Ds-2Ce5Ad0T-Itp Eco Bnc/Dc, White - 1080P"/>
    <x v="10"/>
    <n v="944"/>
    <n v="3200"/>
    <n v="0.70499999999999996"/>
    <n v="3.9"/>
    <n v="305"/>
    <n v="7"/>
    <b v="0"/>
    <b v="0"/>
    <b v="0"/>
    <b v="0"/>
    <d v="2026-06-05T00:00:00"/>
    <n v="1189.5"/>
  </r>
  <r>
    <s v="B0B2KV6D97"/>
    <s v="Canon EOS R10 24.2MP RF-S18-150 F/3.5-6.3 IS STM Mirrorless Camera (APS-C Sendor, 4K UHD Video) for Wedding &amp;amp; Content Creators - Black"/>
    <x v="10"/>
    <n v="102890"/>
    <n v="119995"/>
    <n v="0.14299999999999999"/>
    <n v="4.7"/>
    <n v="268"/>
    <n v="1"/>
    <b v="0"/>
    <b v="0"/>
    <b v="0"/>
    <b v="0"/>
    <d v="2026-06-05T00:00:00"/>
    <n v="1259.6000000000001"/>
  </r>
  <r>
    <s v="B0GKPNC2NR"/>
    <s v="Digital Cameras for Photography - 5K 75MP Vlogging Camera for YouTube WiFi - UHD Autofocus Vlog Camera 3&amp;quot; 180Â° Flip Screen with 18X Zoom - Travel YouTube with 32GB SD Card, 2 Batteries (CAM25)"/>
    <x v="10"/>
    <n v="7999"/>
    <n v="14999"/>
    <n v="0.46700000000000003"/>
    <n v="2.4"/>
    <n v="5"/>
    <n v="1"/>
    <b v="0"/>
    <b v="0"/>
    <b v="0"/>
    <b v="0"/>
    <d v="2026-06-05T00:00:00"/>
    <n v="12"/>
  </r>
  <r>
    <s v="B0CBQR21K3"/>
    <s v="Canon EOS R5 C Mirrorless Digital Camera - Black - Kit with RF24-70mm F2.8 L IS USM Lens"/>
    <x v="10"/>
    <n v="1005481"/>
    <n v="1055481"/>
    <n v="4.7E-2"/>
    <n v="5"/>
    <n v="1"/>
    <n v="1"/>
    <b v="0"/>
    <b v="0"/>
    <b v="0"/>
    <b v="0"/>
    <d v="2026-06-05T00:00:00"/>
    <n v="5"/>
  </r>
  <r>
    <s v="B0DW49ZB6Y"/>
    <s v="Canon EOS R1 24.2 MP Full-Frame Mirrorless Camera Body Only (6K RAW &amp;amp; 4K 120p Video) - Black"/>
    <x v="10"/>
    <n v="599999"/>
    <n v="630995"/>
    <n v="4.9000000000000002E-2"/>
    <n v="3.7"/>
    <n v="3"/>
    <n v="1"/>
    <b v="0"/>
    <b v="0"/>
    <b v="0"/>
    <b v="0"/>
    <d v="2026-06-05T00:00:00"/>
    <n v="11.100000000000001"/>
  </r>
  <r>
    <s v="B0GRVB1X7Z"/>
    <s v="DDLC 4MP Wireless PTZ Security Camera for Home Outdoor | Dual Antenna | 360Â° Pan Tilt | Night Vision | Two-Way Audio | Motion Detection | WiFi CCTV Camera with Mobile App V380 Pro (Mini PTZ)"/>
    <x v="10"/>
    <n v="1489"/>
    <n v="2499"/>
    <n v="0.40400000000000003"/>
    <n v="3.8"/>
    <n v="3"/>
    <n v="1"/>
    <b v="0"/>
    <b v="0"/>
    <b v="0"/>
    <b v="0"/>
    <d v="2026-06-05T00:00:00"/>
    <n v="11.399999999999999"/>
  </r>
  <r>
    <s v="B0FRRRNVPX"/>
    <s v="OBSBOT Tiny 2 Lite AI-Powered 4K PTZ Webcam with AI Tracking, 1/2â€³ Sensor, 1080p@60FPS HDR, Gesture Control, Dual Microphones, Auto Focus | Webcam for PC, Laptop, Streaming, Meetings &amp;amp; Video Calls"/>
    <x v="10"/>
    <n v="18970"/>
    <n v="32999"/>
    <n v="0.42499999999999999"/>
    <n v="4.4000000000000004"/>
    <n v="73"/>
    <n v="1"/>
    <b v="0"/>
    <b v="0"/>
    <b v="0"/>
    <b v="0"/>
    <d v="2026-06-05T00:00:00"/>
    <n v="321.20000000000005"/>
  </r>
  <r>
    <s v="B0F1XQX7M4"/>
    <s v="Storio Rechargeable Pocket Video Game for Kids 400 in 1 Retro Game Box Console Handheld Game Box with TV Output - Multicolor"/>
    <x v="11"/>
    <n v="581"/>
    <n v="1299"/>
    <n v="0.55300000000000005"/>
    <n v="3.4"/>
    <n v="1210"/>
    <n v="1"/>
    <b v="0"/>
    <b v="0"/>
    <b v="0"/>
    <b v="0"/>
    <d v="2026-06-05T00:00:00"/>
    <n v="4114"/>
  </r>
  <r>
    <s v="B0GCTMJ81F"/>
    <s v="POWERNRI 2026 4K Gaming Console for TV | 20000+ Built-in Games | Wireless Dual Gamepads | Plug &amp;amp; Play Games| Family Fun Entertainment"/>
    <x v="11"/>
    <n v="1999"/>
    <n v="3999"/>
    <n v="0.5"/>
    <n v="4"/>
    <n v="10"/>
    <n v="1"/>
    <b v="0"/>
    <b v="0"/>
    <b v="0"/>
    <b v="0"/>
    <d v="2026-06-05T00:00:00"/>
    <n v="40"/>
  </r>
  <r>
    <s v="B0GYS94ZFJ"/>
    <s v="500 in 1 Handheld Game Console for Kids | Retro Video Game Player with Rechargeable Battery, TV Output, Portable Pocket Gaming Device with Controller | Classic Arcade Games for Boys &amp;amp; Girls"/>
    <x v="11"/>
    <n v="785"/>
    <n v="1299"/>
    <n v="0.39600000000000002"/>
    <n v="4.2"/>
    <n v="43"/>
    <n v="1"/>
    <b v="0"/>
    <b v="0"/>
    <b v="0"/>
    <b v="0"/>
    <d v="2026-06-05T00:00:00"/>
    <n v="180.6"/>
  </r>
  <r>
    <s v="B0GKFM3848"/>
    <s v="TOYTONIC Rechargeable Pocket Video Game Console for Kids 400-in-1 Retro Handheld Gaming Device with Built-in Classic Games, TV Output Support(Color Assorted)"/>
    <x v="11"/>
    <n v="580"/>
    <n v="999"/>
    <n v="0.41899999999999998"/>
    <n v="3.6"/>
    <n v="100"/>
    <n v="1"/>
    <b v="0"/>
    <b v="0"/>
    <b v="0"/>
    <b v="0"/>
    <d v="2026-06-05T00:00:00"/>
    <n v="360"/>
  </r>
  <r>
    <s v="B0GF8SBBY5"/>
    <s v="TOYTONIC R36S Retro Emulator Handheld Video Game Console, Built-in 22,000+ Games, 3.5 Inch IPS HD Screen,Up to 6 Hours Play Time,Rechargeable Portable Gaming Device,Gift for Boys &amp;amp; Girls (Assorted)"/>
    <x v="11"/>
    <n v="3397"/>
    <n v="5999"/>
    <n v="0.434"/>
    <m/>
    <n v="0"/>
    <n v="1"/>
    <b v="0"/>
    <b v="0"/>
    <b v="0"/>
    <b v="0"/>
    <d v="2026-06-05T00:00:00"/>
    <s v=""/>
  </r>
  <r>
    <s v="B0DRSRVQ4C"/>
    <s v="TOYTONIC Handheld Gaming Console for Kids &amp;amp; Adults | 520 Classic Built-in Games | Retro Video Game Player | Portable, Rechargeable, TV Output | Toy &amp;amp; Gift for Boys Girls Ages 6-14 | Mini Game Box"/>
    <x v="11"/>
    <n v="756"/>
    <n v="999"/>
    <n v="0.24299999999999999"/>
    <m/>
    <n v="0"/>
    <n v="1"/>
    <b v="0"/>
    <b v="0"/>
    <b v="0"/>
    <b v="0"/>
    <d v="2026-06-05T00:00:00"/>
    <s v=""/>
  </r>
  <r>
    <s v="B0H2RSS17L"/>
    <s v="2026 New 4K TV Game Con-Sole | Plug &amp;amp; Play R-etro Gaming Console with 2 Wireless Controllers | HDMI Video Game System for Kids &amp;amp; Family | ( Limited Kids Edition 2026 ) (NEW Limited Stock)"/>
    <x v="11"/>
    <n v="3399"/>
    <n v="5000"/>
    <n v="0.32"/>
    <n v="4.2"/>
    <n v="8"/>
    <n v="1"/>
    <b v="0"/>
    <b v="0"/>
    <b v="0"/>
    <b v="0"/>
    <d v="2026-06-05T00:00:00"/>
    <n v="33.6"/>
  </r>
  <r>
    <s v="B0GZ9V61JJ"/>
    <s v="2026 4K HDMI Gaming Console for TV, Plug and Play Video Game System with 2 Wireless Controllers, Built-in Retro Games, Family Entertainment for Kids &amp;amp; Adults (Special Edition 2026)"/>
    <x v="11"/>
    <n v="3499"/>
    <n v="5500"/>
    <n v="0.36399999999999999"/>
    <n v="5"/>
    <n v="6"/>
    <n v="1"/>
    <b v="0"/>
    <b v="0"/>
    <b v="0"/>
    <b v="0"/>
    <d v="2026-06-05T00:00:00"/>
    <n v="30"/>
  </r>
  <r>
    <s v="B0F88PKHKF"/>
    <s v="Wireless Retro Gaming Console for TV | HDMI Game Stick | Plug &amp;amp; Play | Dual Wireless Controllers | Classic Arcade Style Games | Family Gaming | Black"/>
    <x v="11"/>
    <n v="1995"/>
    <n v="4998"/>
    <n v="0.60099999999999998"/>
    <n v="3.7"/>
    <n v="413"/>
    <n v="1"/>
    <b v="0"/>
    <b v="0"/>
    <b v="0"/>
    <b v="0"/>
    <d v="2026-06-05T00:00:00"/>
    <n v="1528.1000000000001"/>
  </r>
  <r>
    <s v="B0H2RMLPRT"/>
    <s v="2026 New 4K TV Game Con-Sole | Plug &amp;amp; Play R-etro Gaming Console | HDMI Retro Game Stick with Dual Wireless Controllers | Plug &amp;amp; Play Family Entertainment Device (Standard Edition)"/>
    <x v="11"/>
    <n v="3349"/>
    <n v="5000"/>
    <n v="0.33"/>
    <n v="4.2"/>
    <n v="8"/>
    <n v="1"/>
    <b v="0"/>
    <b v="0"/>
    <b v="0"/>
    <b v="0"/>
    <d v="2026-06-05T00:00:00"/>
    <n v="33.6"/>
  </r>
  <r>
    <s v="B0FQPHYPBJ"/>
    <s v="Domenico Retro Handheld Gaming Console, Video Game for Kids, SUP Game 3 Iinch Display, 400 Games, TV Compatible, Gaming Console for Kids and Adults (Color As Per Availability)"/>
    <x v="11"/>
    <n v="545"/>
    <n v="1999"/>
    <n v="0.72699999999999998"/>
    <n v="3.9"/>
    <n v="37"/>
    <n v="1"/>
    <b v="0"/>
    <b v="0"/>
    <b v="0"/>
    <b v="0"/>
    <d v="2026-06-05T00:00:00"/>
    <n v="144.29999999999998"/>
  </r>
  <r>
    <s v="B0CMJDVH1N"/>
    <s v="EWDGOES R36S Handheld Game Console 3.5 inch Preinstalled Emulator System White 32GB+64GB"/>
    <x v="11"/>
    <n v="3599"/>
    <n v="4990"/>
    <n v="0.27900000000000003"/>
    <n v="3.2"/>
    <n v="125"/>
    <n v="1"/>
    <b v="0"/>
    <b v="0"/>
    <b v="0"/>
    <b v="0"/>
    <d v="2026-06-05T00:00:00"/>
    <n v="400"/>
  </r>
  <r>
    <s v="B0GT1BSNLL"/>
    <s v="GS5Pro Retro Gaming Console - Wireless Controller Gamepad- 1080P HD Graphics, 64GB Storage,Video Game TV Stick for All Ages"/>
    <x v="11"/>
    <n v="4899"/>
    <n v="8999"/>
    <n v="0.45600000000000002"/>
    <n v="4.5999999999999996"/>
    <n v="10"/>
    <n v="1"/>
    <b v="0"/>
    <b v="0"/>
    <b v="1"/>
    <b v="0"/>
    <d v="2026-06-05T00:00:00"/>
    <n v="46"/>
  </r>
  <r>
    <s v="B0FYWSTM4J"/>
    <s v="SmartcamÂ® Retro Handheld Gaming Console for Kids &amp;amp; Adults | 520+ Built-in Classic Video Games | Portable Rechargeable Mini Game Player | TV Output | Gift for Boys &amp;amp; Girls Ages 6â€“14"/>
    <x v="11"/>
    <n v="673"/>
    <n v="2999"/>
    <n v="0.77600000000000002"/>
    <n v="3.4"/>
    <n v="17"/>
    <n v="1"/>
    <b v="0"/>
    <b v="0"/>
    <b v="0"/>
    <b v="0"/>
    <d v="2026-06-05T00:00:00"/>
    <n v="57.8"/>
  </r>
  <r>
    <s v="B0GQHL1W8Q"/>
    <s v="TOYTONIC Portable Retro Handheld Game Console for Kids | 3.5&amp;quot; Color Screen Classic Gaming with Preloaded 620 Games | Built-in Power Cell, TV Output | Video Games Player ð‹ð¢ð¦ð¢ð­ðžð ð“ð¨ððšð²"/>
    <x v="11"/>
    <n v="1208"/>
    <n v="1599"/>
    <n v="0.245"/>
    <n v="2.8"/>
    <n v="2"/>
    <n v="1"/>
    <b v="0"/>
    <b v="0"/>
    <b v="0"/>
    <b v="0"/>
    <d v="2026-06-05T00:00:00"/>
    <n v="5.6"/>
  </r>
  <r>
    <s v="B0FG2QY14B"/>
    <s v="R36 Ultra Retro Handheld Game Console-2025 Model with 128GB, 4-Inch IPS Screen, Over 30K Games Mini Video Games Console, Supports 23 Emulators, Linux-Based Retro Gaming Console (White)"/>
    <x v="11"/>
    <n v="4950"/>
    <n v="6990"/>
    <n v="0.29199999999999998"/>
    <n v="3.8"/>
    <n v="62"/>
    <n v="1"/>
    <b v="0"/>
    <b v="0"/>
    <b v="0"/>
    <b v="0"/>
    <d v="2026-06-05T00:00:00"/>
    <n v="235.6"/>
  </r>
  <r>
    <s v="B0DSVVCM9D"/>
    <s v="TOYTONIC Retro Handheld Gaming Console for Kids &amp;amp; Adults â€“ 666-In-1 Built-in Classic Video Games â€“ Rechargeable Game Console for Boys 7-14 Years â€“ TV Output â€“ Portable Toy Gift"/>
    <x v="11"/>
    <n v="1199"/>
    <n v="1599"/>
    <n v="0.25"/>
    <n v="3.9"/>
    <n v="267"/>
    <n v="1"/>
    <b v="0"/>
    <b v="0"/>
    <b v="0"/>
    <b v="0"/>
    <d v="2026-06-05T00:00:00"/>
    <n v="1041.3"/>
  </r>
  <r>
    <s v="B0DKT7VBFM"/>
    <s v="Toy Imagine Retro Handheld Gaming Console for Kids | Portable Mini Gamepad with Builtin Screen | 520 Classic Games | Perfect Pocket Toy for Boys | Ideal for Ages 6+ | Inspired Fun"/>
    <x v="11"/>
    <n v="776"/>
    <n v="999"/>
    <n v="0.223"/>
    <n v="3.7"/>
    <n v="48"/>
    <n v="1"/>
    <b v="0"/>
    <b v="0"/>
    <b v="0"/>
    <b v="0"/>
    <d v="2026-06-05T00:00:00"/>
    <n v="177.60000000000002"/>
  </r>
  <r>
    <s v="B0G6ZZZ3XV"/>
    <s v="NextTech UHD Retro Handheld Game Console | Built-in Classic Games | Mini Portable Video Game Player for Kids &amp;amp; Adults | Plug &amp;amp; Play Gaming Device | Random Color"/>
    <x v="11"/>
    <n v="999"/>
    <n v="1999"/>
    <n v="0.5"/>
    <n v="4.3"/>
    <n v="6"/>
    <n v="1"/>
    <b v="0"/>
    <b v="0"/>
    <b v="0"/>
    <b v="0"/>
    <d v="2026-06-05T00:00:00"/>
    <n v="25.799999999999997"/>
  </r>
  <r>
    <s v="B0FPQQD7C7"/>
    <s v="Cubonic Rediscover Gaming Magic VividGo Mi7 â€“ Sleek Handheld Console, Huge 20k+ Game Library &amp;amp; Immersive HD Screen LED Display, 23+ Emulators, 64GB Storage, Rechargeable Battery (4.3, Inches)"/>
    <x v="11"/>
    <n v="6199"/>
    <n v="9999"/>
    <n v="0.38"/>
    <n v="3.7"/>
    <n v="18"/>
    <n v="1"/>
    <b v="0"/>
    <b v="0"/>
    <b v="0"/>
    <b v="0"/>
    <d v="2026-06-05T00:00:00"/>
    <n v="66.600000000000009"/>
  </r>
  <r>
    <s v="B0G38HMV1B"/>
    <s v="SNAPTRON Handheld Gaming Console for Kids &amp;amp; Adults| G7 Retro Game Console| 666-In-1 Built-in Classic Video Games| Portable Gaming Console| Rechargeable Game Console for Boys 7-14 Years| Retro Game Box"/>
    <x v="11"/>
    <n v="898"/>
    <n v="1349"/>
    <n v="0.33400000000000002"/>
    <n v="3.8"/>
    <n v="56"/>
    <n v="1"/>
    <b v="0"/>
    <b v="0"/>
    <b v="0"/>
    <b v="0"/>
    <d v="2026-06-05T00:00:00"/>
    <n v="212.79999999999998"/>
  </r>
  <r>
    <s v="B0FQDWFHWW"/>
    <s v="DOMENICO Wireless video games for tv gaming Retro gaming console with Game Stick Plug &amp;amp; Play TV Video Game Set for 2 player with 15Emulator for Kids &amp;amp; Old School Station Video Game - Black"/>
    <x v="11"/>
    <n v="1999"/>
    <n v="3999"/>
    <n v="0.5"/>
    <n v="3.2"/>
    <n v="35"/>
    <n v="1"/>
    <b v="0"/>
    <b v="0"/>
    <b v="0"/>
    <b v="0"/>
    <d v="2026-06-05T00:00:00"/>
    <n v="112"/>
  </r>
  <r>
    <s v="B0F2LZHDZ2"/>
    <s v="TOYTONIC G5 Handheld Game Console for Kids, Retro Gaming Device with 3.0&amp;quot; HD Screen, Built-in 500 Classic Games, AV Output, Random Color â€“ Portable Game Player for Boys &amp;amp; Girls, Multicolour"/>
    <x v="11"/>
    <n v="679"/>
    <n v="999"/>
    <n v="0.32"/>
    <n v="3.7"/>
    <n v="246"/>
    <n v="1"/>
    <b v="0"/>
    <b v="0"/>
    <b v="0"/>
    <b v="0"/>
    <d v="2026-06-05T00:00:00"/>
    <n v="910.2"/>
  </r>
  <r>
    <s v="B0GL7P1QL9"/>
    <s v="SMARTCAM M15 Game Stick 22000+ INBUILT Video Game Console Retro Classic 3D 4K Full HD with 2 Wireless Gamepad Plug &amp;amp; Play Video Game 64GB"/>
    <x v="11"/>
    <n v="2289"/>
    <n v="4999"/>
    <n v="0.54200000000000004"/>
    <n v="2.1"/>
    <n v="17"/>
    <n v="1"/>
    <b v="0"/>
    <b v="0"/>
    <b v="0"/>
    <b v="0"/>
    <d v="2026-06-05T00:00:00"/>
    <n v="35.700000000000003"/>
  </r>
  <r>
    <s v="B0GT9SCQZN"/>
    <s v="Maizic GS5 Pro 4K Retro Gaming Console | 30,000+ Games Built-in | 53 Emulators | Wireless HDMI Plug &amp;amp; Play Game System for TV, PC, Projector | Includes 2 Wireless Controllers"/>
    <x v="11"/>
    <n v="4799"/>
    <n v="8399"/>
    <n v="0.42899999999999999"/>
    <n v="2"/>
    <n v="2"/>
    <n v="1"/>
    <b v="0"/>
    <b v="0"/>
    <b v="0"/>
    <b v="0"/>
    <d v="2026-06-05T00:00:00"/>
    <n v="4"/>
  </r>
  <r>
    <s v="B0G1GYMRV4"/>
    <s v="TOYTONIC Portable Retro Handheld Game Console for Kids | Classic Gaming with Preloaded 620 Games | 3.5&amp;quot; Color Screen, Built-in Power Cell, TV Output | Video Games Player ð‹ð¢ð¦ð¢ð­ðžð ð“ð¨ððšð²"/>
    <x v="11"/>
    <n v="899"/>
    <n v="999"/>
    <n v="0.1"/>
    <n v="3"/>
    <n v="39"/>
    <n v="1"/>
    <b v="0"/>
    <b v="0"/>
    <b v="0"/>
    <b v="0"/>
    <d v="2026-06-05T00:00:00"/>
    <n v="117"/>
  </r>
  <r>
    <s v="B0G4NF9JQG"/>
    <s v="New 2026 Upgraded 4k TV Video Game Gaming System, Plug &amp;amp; Play Video TV Games HD with Wireless 2 Controllers for Men/Women/Girls/Boys/Adult/Kids"/>
    <x v="11"/>
    <n v="2299"/>
    <n v="3999"/>
    <n v="0.42499999999999999"/>
    <n v="3.4"/>
    <n v="3"/>
    <n v="1"/>
    <b v="0"/>
    <b v="0"/>
    <b v="0"/>
    <b v="0"/>
    <d v="2026-06-05T00:00:00"/>
    <n v="10.199999999999999"/>
  </r>
  <r>
    <s v="B0D8VVH9CS"/>
    <s v="NextTech P5 4K Retro Game Console | Portable Handheld Gaming Device | Built-in Classic Games | HDMI TV Output | Plug &amp;amp; Play Video Game Stick for Kids, Adults &amp;amp; Family Entertainment"/>
    <x v="11"/>
    <n v="899"/>
    <n v="1999"/>
    <n v="0.55000000000000004"/>
    <n v="3.6"/>
    <n v="17"/>
    <n v="1"/>
    <b v="0"/>
    <b v="0"/>
    <b v="0"/>
    <b v="0"/>
    <d v="2026-06-05T00:00:00"/>
    <n v="61.2"/>
  </r>
  <r>
    <s v="B0F6N212VV"/>
    <s v="VikriDA Handheld Game Players | 4.3In X7 Video Game Console | Double Rocker 8GB Memory Built in 10000 Games MP5 Multifunctional Inbuilt Camera"/>
    <x v="11"/>
    <n v="3298"/>
    <n v="7999"/>
    <n v="0.58799999999999997"/>
    <n v="3"/>
    <n v="30"/>
    <n v="1"/>
    <b v="0"/>
    <b v="0"/>
    <b v="0"/>
    <b v="0"/>
    <d v="2026-06-05T00:00:00"/>
    <n v="90"/>
  </r>
  <r>
    <s v="B09GPGJZN5"/>
    <s v="GSH Wireless 4K Video Game Console Stick with built-in Retro Classic Games + Gamepads"/>
    <x v="11"/>
    <n v="1899"/>
    <n v="3999"/>
    <n v="0.52500000000000002"/>
    <n v="3.2"/>
    <n v="113"/>
    <n v="1"/>
    <b v="0"/>
    <b v="0"/>
    <b v="0"/>
    <b v="0"/>
    <d v="2026-06-05T00:00:00"/>
    <n v="361.6"/>
  </r>
  <r>
    <s v="B0D4J24X5C"/>
    <s v="VikriDA G5 500-in-1 Retro Handheld Game Console for Kids â€“ 2 Players Classic TV-Compatible Game Box with Controller â€“ Multicolor"/>
    <x v="11"/>
    <n v="797"/>
    <n v="1999"/>
    <n v="0.60099999999999998"/>
    <n v="3.4"/>
    <n v="133"/>
    <n v="1"/>
    <b v="0"/>
    <b v="0"/>
    <b v="0"/>
    <b v="0"/>
    <d v="2026-06-05T00:00:00"/>
    <n v="452.2"/>
  </r>
  <r>
    <s v="B0FPQM4CCB"/>
    <s v="Zepplay Retro Game Stick 4K Plug &amp;amp; Play HDMI Console for TV | 21,000+ Preloaded Retro-Style Games | Dual Wireless Controllers | 64GB Card | Gaming Console for Kids &amp;amp; Family Entertainment"/>
    <x v="11"/>
    <n v="2499"/>
    <n v="4999"/>
    <n v="0.5"/>
    <n v="3.2"/>
    <n v="127"/>
    <n v="1"/>
    <b v="0"/>
    <b v="0"/>
    <b v="0"/>
    <b v="0"/>
    <d v="2026-06-05T00:00:00"/>
    <n v="406.40000000000003"/>
  </r>
  <r>
    <s v="B0GTNSXTDZ"/>
    <s v="ZORBESÂ® Hard EVA Carrying Case for Retro Handheld Game Console, Shockproof Protective Travel Storage Bag Portable Retro Gaming Console Case with Mesh Pocket &amp;amp; Wrist Strap"/>
    <x v="11"/>
    <n v="631"/>
    <n v="899"/>
    <n v="0.29799999999999999"/>
    <m/>
    <n v="0"/>
    <n v="1"/>
    <b v="0"/>
    <b v="0"/>
    <b v="0"/>
    <b v="0"/>
    <d v="2026-06-05T00:00:00"/>
    <s v=""/>
  </r>
  <r>
    <s v="B0FSDNXVG8"/>
    <s v="ASUS ROG XBOX Ally (2025), AMD Ryzen Z2 A Processor,16GB RAM, 512GB SSD, 7&amp;quot;/17.8cm, FHD, Touchscreen,120Hz, 500 nits, Windows 11 Home, White, 670g, RC73YA-NH010W,AMD Radeon Graphics,Gaming Handheld PC"/>
    <x v="11"/>
    <n v="59990"/>
    <n v="83990"/>
    <n v="0.28599999999999998"/>
    <n v="4.3"/>
    <n v="36"/>
    <n v="1"/>
    <b v="0"/>
    <b v="0"/>
    <b v="0"/>
    <b v="0"/>
    <d v="2026-06-05T00:00:00"/>
    <n v="154.79999999999998"/>
  </r>
  <r>
    <s v="B0H36W8FDH"/>
    <s v="400 in 1 Handheld Game Console for Kids | 3.0 Inch Screen | Rechargeable Battery | TV Output | 2 Player Retro Gaming Console"/>
    <x v="11"/>
    <n v="649"/>
    <n v="1599"/>
    <n v="0.59399999999999997"/>
    <m/>
    <n v="0"/>
    <n v="1"/>
    <b v="0"/>
    <b v="0"/>
    <b v="0"/>
    <b v="0"/>
    <d v="2026-06-05T00:00:00"/>
    <s v=""/>
  </r>
  <r>
    <s v="B0GZSGRF2V"/>
    <s v="J36 Ultra Handheld Gaming Console with | WiFi &amp;amp; YouTube |3.5 Inch IPS HD Display, 64 GB, 30,000+ Games, Rechargeable Battery 20+ Emulator Hand Video Game, RGB joystick lighting, Built-in YouTube support (Orange)"/>
    <x v="11"/>
    <n v="4499"/>
    <n v="6990"/>
    <n v="0.35599999999999998"/>
    <n v="5"/>
    <n v="1"/>
    <n v="1"/>
    <b v="0"/>
    <b v="0"/>
    <b v="0"/>
    <b v="0"/>
    <d v="2026-06-05T00:00:00"/>
    <n v="5"/>
  </r>
  <r>
    <s v="B0GJ5D3M5L"/>
    <s v="POWERNRI 2026 Classic Game Box R36S Handheld Gaming Console with 10000+ Retro Games, 3.5&amp;quot; Display, Dual Joysticks, Rechargeable Battery for Kids &amp;amp; Adults"/>
    <x v="11"/>
    <n v="3999"/>
    <n v="9999"/>
    <n v="0.6"/>
    <n v="4.5999999999999996"/>
    <n v="4"/>
    <n v="1"/>
    <b v="0"/>
    <b v="0"/>
    <b v="0"/>
    <b v="0"/>
    <d v="2026-06-05T00:00:00"/>
    <n v="18.399999999999999"/>
  </r>
  <r>
    <s v="B0FFZKFRDH"/>
    <s v="Goyal&amp;#x27;s 500 in 1 - TV Compatible Classical Handheld G5 Video Games for Kids with Many Fun and Exciting Games - Multicolour (Big Screen - 2.8 Inches)"/>
    <x v="11"/>
    <n v="599"/>
    <n v="2499"/>
    <n v="0.76"/>
    <n v="3.1"/>
    <n v="45"/>
    <n v="1"/>
    <b v="0"/>
    <b v="0"/>
    <b v="0"/>
    <b v="0"/>
    <d v="2026-06-05T00:00:00"/>
    <n v="139.5"/>
  </r>
  <r>
    <s v="B0G5GS24GN"/>
    <s v="Casaquin R36S Retro Handheld Gaming Device, 64GB Storage with 15000+ Built-in Games, 3.5 Inch IPS Screen, Portable Linux Gaming System, Rechargeable Battery"/>
    <x v="11"/>
    <n v="4255"/>
    <n v="5999"/>
    <n v="0.29099999999999998"/>
    <n v="4"/>
    <n v="1"/>
    <n v="1"/>
    <b v="0"/>
    <b v="0"/>
    <b v="0"/>
    <b v="0"/>
    <d v="2026-06-05T00:00:00"/>
    <n v="4"/>
  </r>
  <r>
    <s v="B0FPFXCKF1"/>
    <s v="VGRASSP Two Player 400 in 1 Handheld Video Game Console for Kids â€“ Retro Portable Console with Built-in Classic Games, Rechargeable Battery, Gift for Boys &amp;amp; Girls - Multicolor"/>
    <x v="11"/>
    <n v="679"/>
    <n v="1299"/>
    <n v="0.47699999999999998"/>
    <n v="3.5"/>
    <n v="25"/>
    <n v="1"/>
    <b v="0"/>
    <b v="0"/>
    <b v="0"/>
    <b v="0"/>
    <d v="2026-06-05T00:00:00"/>
    <n v="87.5"/>
  </r>
  <r>
    <s v="B0DYKCD2GV"/>
    <s v="R36MAX Retro Handheld Game Console, 4.0 inch IPS Screen, More Than 20 Emulator and 18000+ Games, Portable Hand Held Open Source Linux System Video Game Console (128Gb Translucent Blue)"/>
    <x v="11"/>
    <n v="4985"/>
    <n v="9990"/>
    <n v="0.501"/>
    <n v="4"/>
    <n v="69"/>
    <n v="1"/>
    <b v="0"/>
    <b v="0"/>
    <b v="0"/>
    <b v="0"/>
    <d v="2026-06-05T00:00:00"/>
    <n v="276"/>
  </r>
  <r>
    <s v="B0FNKLG46G"/>
    <s v="2025 New Edition | Wireless for TV HDMI Gaming Plug &amp;amp; Play Video Game 4K HD Game Stick| Wireless Stick with Game Built-in 22,000+ Games &amp;amp; 64Gb, 23 Emu. TV Gaming Console 5 Years to 17 Years (Kids)"/>
    <x v="11"/>
    <n v="1899"/>
    <n v="3999"/>
    <n v="0.52500000000000002"/>
    <n v="3"/>
    <n v="2"/>
    <n v="1"/>
    <b v="0"/>
    <b v="0"/>
    <b v="0"/>
    <b v="0"/>
    <d v="2026-06-05T00:00:00"/>
    <n v="6"/>
  </r>
  <r>
    <s v="B0GPCXQM4Y"/>
    <s v="Parteet Rechargeable Pocket Video Game for Kids 400 in 1 Retro Game Box Console Handheld Game Box with TV Output - (Color and Design Will be Send as per Stock)"/>
    <x v="11"/>
    <n v="525"/>
    <n v="999"/>
    <n v="0.47399999999999998"/>
    <n v="3"/>
    <n v="5"/>
    <n v="1"/>
    <b v="0"/>
    <b v="0"/>
    <b v="0"/>
    <b v="0"/>
    <d v="2026-06-05T00:00:00"/>
    <n v="15"/>
  </r>
  <r>
    <s v="B0GZSBDYNF"/>
    <s v="J36 Ultra Handheld Gaming Console with | WiFi &amp;amp; YouTube |3.5 Inch IPS HD Display, 64 GB, 30,000+ Games, Rechargeable Battery 20+ Emulator Hand Video Game, RGB joystick lighting, Built-in YouTube support (Black)"/>
    <x v="11"/>
    <n v="4499"/>
    <n v="6990"/>
    <n v="0.35599999999999998"/>
    <n v="5"/>
    <n v="1"/>
    <n v="1"/>
    <b v="0"/>
    <b v="0"/>
    <b v="0"/>
    <b v="0"/>
    <d v="2026-06-05T00:00:00"/>
    <n v="5"/>
  </r>
  <r>
    <s v="B0FYQG2KGX"/>
    <s v="XF40H Handheld Game Console, 64GB Retro Gaming Device with 4.0 Inch 4K HD IPS Screen, 20000+ Preloaded Games, Linux System, Inbuilt WiFi (Black)"/>
    <x v="11"/>
    <n v="4990"/>
    <n v="6990"/>
    <n v="0.28599999999999998"/>
    <n v="3.5"/>
    <n v="2"/>
    <n v="1"/>
    <b v="0"/>
    <b v="0"/>
    <b v="0"/>
    <b v="0"/>
    <d v="2026-06-05T00:00:00"/>
    <n v="7"/>
  </r>
  <r>
    <s v="B0FMRF49MG"/>
    <s v="2026 Wireless TV Game Console Stick 4K, with Built-in 9+ Emulators, 21,000+ Games, 4k Hdmi Output &amp;amp; 2.4GHz Controller, Nostalgic Gaming I Retro Game I (for All Kids Edition)"/>
    <x v="11"/>
    <n v="2539"/>
    <n v="2999"/>
    <n v="0.153"/>
    <n v="2.6"/>
    <n v="9"/>
    <n v="1"/>
    <b v="0"/>
    <b v="0"/>
    <b v="0"/>
    <b v="0"/>
    <d v="2026-06-05T00:00:00"/>
    <n v="23.400000000000002"/>
  </r>
  <r>
    <s v="B0GHX1T4QN"/>
    <s v="Domenico Retro Handheld Gaming Console, Video Game for Kids, 3 Iinch Display, 400 Games, TV Compatible, Gaming Console for Kids and Adults (Color As Per Availability)"/>
    <x v="11"/>
    <n v="545"/>
    <n v="1999"/>
    <n v="0.72699999999999998"/>
    <n v="4"/>
    <n v="6"/>
    <n v="1"/>
    <b v="0"/>
    <b v="0"/>
    <b v="0"/>
    <b v="0"/>
    <d v="2026-06-05T00:00:00"/>
    <n v="24"/>
  </r>
  <r>
    <s v="B0GJ5HB23T"/>
    <s v="Retro Gaming Console R36S Handheld with 10000+ Preloaded Games, 3200mAh Battery, 4K Ultra HD Output, Portable Game Box for Travel &amp;amp; Home"/>
    <x v="11"/>
    <n v="3999"/>
    <n v="9999"/>
    <n v="0.6"/>
    <n v="5"/>
    <n v="2"/>
    <n v="1"/>
    <b v="0"/>
    <b v="0"/>
    <b v="0"/>
    <b v="0"/>
    <d v="2026-06-05T00:00:00"/>
    <n v="10"/>
  </r>
  <r>
    <s v="B0FPQLJGYN"/>
    <s v="Cubonic VividGo MI7 Portable Gaming Console, All-in-One Gaming Powerhouse, 4.3-Inch HD Display, 20000+ Pre-Installed Games, Dual Joysticks, Expandable Storage, Multimedia Hub"/>
    <x v="11"/>
    <n v="5999"/>
    <n v="10999"/>
    <n v="0.45500000000000002"/>
    <n v="5"/>
    <n v="1"/>
    <n v="1"/>
    <b v="0"/>
    <b v="0"/>
    <b v="0"/>
    <b v="0"/>
    <d v="2026-06-05T00:00:00"/>
    <n v="5"/>
  </r>
  <r>
    <s v="B0FCYRXY9M"/>
    <s v="VikriDA G7 Retro 3.5-Inch LCD Color Screen Handheld Game with Gamepad Support Console Mini Ultra-Thin 666 Built-in Games Player Gift for Kids - Multicolor"/>
    <x v="11"/>
    <n v="1289"/>
    <n v="1999"/>
    <n v="0.35499999999999998"/>
    <n v="4"/>
    <n v="126"/>
    <n v="1"/>
    <b v="0"/>
    <b v="0"/>
    <b v="0"/>
    <b v="0"/>
    <d v="2026-06-05T00:00:00"/>
    <n v="504"/>
  </r>
  <r>
    <s v="B0FPFYXJGW"/>
    <s v="VGRASSP Two Player 400 in 1 Handheld Video Game Console for Kids â€“ Retro Portable Console with Built-in Classic Games, Rechargeable Battery, Gift for Boys &amp;amp; Girls - Multicolor"/>
    <x v="11"/>
    <n v="679"/>
    <n v="1999"/>
    <n v="0.66"/>
    <n v="3.3"/>
    <n v="60"/>
    <n v="1"/>
    <b v="0"/>
    <b v="0"/>
    <b v="0"/>
    <b v="0"/>
    <d v="2026-06-05T00:00:00"/>
    <n v="198"/>
  </r>
  <r>
    <s v="B0CPPJMC54"/>
    <s v="NextTech 2026 Retro Handheld Console with 3.5&amp;quot; HD Display | Plug &amp;amp; Play Portable Gaming Device | Built-in Classic Arcade Games | Compact Mini Game Console for Kids, Teens &amp;amp; Adults"/>
    <x v="11"/>
    <n v="3999"/>
    <n v="6999"/>
    <n v="0.42899999999999999"/>
    <n v="3.4"/>
    <n v="37"/>
    <n v="1"/>
    <b v="0"/>
    <b v="0"/>
    <b v="0"/>
    <b v="0"/>
    <d v="2026-06-05T00:00:00"/>
    <n v="125.8"/>
  </r>
  <r>
    <s v="B0G8JRLG9D"/>
    <s v="POWERNRI X7 Handheld Game Console with 10000+ Built-in Retro Games, Portable PSP Style Gaming Device, 8GB Memory, MP5 Multimedia Player for Kids &amp;amp; Adults"/>
    <x v="11"/>
    <n v="3999"/>
    <n v="7999"/>
    <n v="0.5"/>
    <n v="3.6"/>
    <n v="5"/>
    <n v="1"/>
    <b v="0"/>
    <b v="0"/>
    <b v="0"/>
    <b v="0"/>
    <d v="2026-06-05T00:00:00"/>
    <n v="18"/>
  </r>
  <r>
    <s v="B0H1H33KGP"/>
    <s v="Casaquin GS5 Pro 4K Retro Video Game Console for TV | 22,000+ Built-in Games | 23 Emulators | Plug &amp;amp; Play Gaming Stick | Dual Wireless Controllers | 4K Ultra HD HDMI Game Console for Kids &amp;amp; Adults"/>
    <x v="11"/>
    <n v="5999"/>
    <n v="9999"/>
    <n v="0.4"/>
    <n v="5"/>
    <n v="1"/>
    <n v="1"/>
    <b v="0"/>
    <b v="0"/>
    <b v="0"/>
    <b v="0"/>
    <d v="2026-06-05T00:00:00"/>
    <n v="5"/>
  </r>
  <r>
    <s v="B0FP1KZR2S"/>
    <s v="VGRASSP Two Player 400 in 1 Handheld Video Game Console for Kids â€“ Retro Portable Console with Built-in Classic Games, Rechargeable Battery, Gift for Boys &amp;amp; Girls - Color As Per Stock"/>
    <x v="11"/>
    <n v="679"/>
    <n v="1999"/>
    <n v="0.66"/>
    <n v="3.3"/>
    <n v="106"/>
    <n v="1"/>
    <b v="0"/>
    <b v="0"/>
    <b v="0"/>
    <b v="0"/>
    <d v="2026-06-05T00:00:00"/>
    <n v="349.79999999999995"/>
  </r>
  <r>
    <s v="B0FR451Q6T"/>
    <s v="Cubonic CrystalPlay R36S Retro Gaming Console, Transparent PixelGlass, 3.5-Inch LCD Screen, RK3326 Quad-Core, 15000+ Games, Dual Joystick, Support MAX 256GB Storage, 3000mAh Battery (black)"/>
    <x v="11"/>
    <n v="3998"/>
    <n v="7999"/>
    <n v="0.5"/>
    <n v="3.5"/>
    <n v="11"/>
    <n v="1"/>
    <b v="0"/>
    <b v="0"/>
    <b v="0"/>
    <b v="0"/>
    <d v="2026-06-05T00:00:00"/>
    <n v="38.5"/>
  </r>
  <r>
    <s v="B0GZLQ5L55"/>
    <s v="gamesoul R50S Retro Game Console, 5 Inch Emulator System, 64 GB, 15000+ Preinstalled Video Games"/>
    <x v="11"/>
    <n v="4930"/>
    <n v="9990"/>
    <n v="0.50700000000000001"/>
    <m/>
    <n v="0"/>
    <n v="1"/>
    <b v="0"/>
    <b v="0"/>
    <b v="0"/>
    <b v="0"/>
    <d v="2026-06-05T00:00:00"/>
    <s v=""/>
  </r>
  <r>
    <s v="B0FJ8C5GGS"/>
    <s v="Maizic Smarthome G5 500 in 1 Retro Game Box Only for 1 Player, 3 Inch Display, Mini Handheld Classic Games, Built-in Games Rechargeable, Portable, Video Game for Kids (Green)"/>
    <x v="11"/>
    <n v="599"/>
    <n v="2000"/>
    <n v="0.7"/>
    <n v="4.2"/>
    <n v="6"/>
    <n v="1"/>
    <b v="0"/>
    <b v="0"/>
    <b v="0"/>
    <b v="0"/>
    <d v="2026-06-05T00:00:00"/>
    <n v="25.200000000000003"/>
  </r>
  <r>
    <s v="B0G3H32FGQ"/>
    <s v="SMARTCAM 3.0 Inch Portable Handheld Video Game Console with Preloaded Games, Slim Gaming Player for Kids, Fun Gift Option"/>
    <x v="11"/>
    <n v="589"/>
    <n v="1999"/>
    <n v="0.70499999999999996"/>
    <m/>
    <n v="0"/>
    <n v="1"/>
    <b v="0"/>
    <b v="0"/>
    <b v="0"/>
    <b v="0"/>
    <d v="2026-06-05T00:00:00"/>
    <s v=""/>
  </r>
  <r>
    <s v="B0FMSMSWH2"/>
    <s v="New World Rechargeable Pocket Video Game for Kids, Retro Video Game Box Handheld Console Game Box with TV Output"/>
    <x v="11"/>
    <n v="799"/>
    <m/>
    <m/>
    <n v="3.4"/>
    <n v="11"/>
    <n v="2"/>
    <b v="0"/>
    <b v="0"/>
    <b v="0"/>
    <b v="0"/>
    <d v="2026-06-05T00:00:00"/>
    <n v="37.4"/>
  </r>
  <r>
    <s v="B0GXZ7PMH9"/>
    <s v="CHG Handheld Video Game Console for Kids, Built-in Retro Games | 400 in 1 Console | Indoor Games for Kids Ages 7 to 15 | Gift for Boys and Girls | Portable Fun for Travel and Home"/>
    <x v="11"/>
    <n v="599"/>
    <n v="1999"/>
    <n v="0.7"/>
    <m/>
    <n v="0"/>
    <n v="1"/>
    <b v="0"/>
    <b v="0"/>
    <b v="0"/>
    <b v="0"/>
    <d v="2026-06-05T00:00:00"/>
    <s v=""/>
  </r>
  <r>
    <s v="B09YH82G14"/>
    <s v="VGRASSP 400 in 1 Mini Video Game Toy for Kids - Portable Retro Handheld Game Console with Rechargeable Battery - AV Output TV Compatible - Color and Design As Per Stock (Modern) (Classic)"/>
    <x v="11"/>
    <n v="521"/>
    <n v="1299"/>
    <n v="0.59899999999999998"/>
    <n v="3.4"/>
    <n v="2323"/>
    <n v="1"/>
    <b v="0"/>
    <b v="0"/>
    <b v="0"/>
    <b v="0"/>
    <d v="2026-06-05T00:00:00"/>
    <n v="7898.2"/>
  </r>
  <r>
    <s v="B0GRBT3XRX"/>
    <s v="Smartcam R36S Handheld Gaming Console with 3.5â€ HD Screen | 15000+ Retro Games | 21 Emulators | Dual Joystick | 3500mAh Battery | Save &amp;amp; Load | Portable Retro Game Player"/>
    <x v="11"/>
    <n v="3519"/>
    <n v="6999"/>
    <n v="0.497"/>
    <n v="3"/>
    <n v="2"/>
    <n v="1"/>
    <b v="0"/>
    <b v="0"/>
    <b v="0"/>
    <b v="0"/>
    <d v="2026-06-05T00:00:00"/>
    <n v="6"/>
  </r>
  <r>
    <s v="B0GWM9WT9H"/>
    <s v="Kidsmate Handheld Gaming Console Video Game for Kids with 666 Built-in Retro Games | Rechargeable Battery, Compact Design with TV Connectivity for Big Screen Play | Ideal for Fun &amp;amp; Learning (Green)"/>
    <x v="11"/>
    <n v="1099"/>
    <n v="2999"/>
    <n v="0.63400000000000001"/>
    <n v="3.6"/>
    <n v="18"/>
    <n v="1"/>
    <b v="0"/>
    <b v="0"/>
    <b v="0"/>
    <b v="0"/>
    <d v="2026-06-05T00:00:00"/>
    <n v="64.8"/>
  </r>
  <r>
    <s v="B0GG6H42F5"/>
    <s v="(New) Wireless Retro Game Console Stick 4K Stick with Built-in 9+ Emulators 21,000+ Games, 4k Hdmi Output &amp;amp; 2.4GHz Wireless Controller, Retro Game Emulators, Plug &amp;amp; Play TV Video Games for All"/>
    <x v="11"/>
    <n v="2549"/>
    <n v="6999"/>
    <n v="0.63600000000000001"/>
    <n v="3.7"/>
    <n v="29"/>
    <n v="1"/>
    <b v="0"/>
    <b v="0"/>
    <b v="0"/>
    <b v="0"/>
    <d v="2026-06-05T00:00:00"/>
    <n v="107.30000000000001"/>
  </r>
  <r>
    <s v="B0GPM6198K"/>
    <s v="M22 Special Edition Retro Gaming Console - Wireless Controller Gamepad- 1080P HD Graphics, 64GB Storage,Video Game TV Stick for All Ages"/>
    <x v="11"/>
    <n v="3699"/>
    <n v="6999"/>
    <n v="0.47099999999999997"/>
    <n v="3.4"/>
    <n v="14"/>
    <n v="1"/>
    <b v="0"/>
    <b v="0"/>
    <b v="0"/>
    <b v="0"/>
    <d v="2026-06-05T00:00:00"/>
    <n v="47.6"/>
  </r>
  <r>
    <s v="B0G6DN6W5R"/>
    <s v="Cubonic 7&amp;quot; Full HD Screen Linux System Retro Handheld Gaming Console 64GB Storage, Support 30+ Emulator Games with HDMI Output Wireless Dual Remote Controller (White)"/>
    <x v="11"/>
    <n v="9499"/>
    <n v="17999"/>
    <n v="0.47199999999999998"/>
    <m/>
    <n v="0"/>
    <n v="1"/>
    <b v="0"/>
    <b v="0"/>
    <b v="0"/>
    <b v="0"/>
    <d v="2026-06-05T00:00:00"/>
    <s v=""/>
  </r>
  <r>
    <s v="B0FPQJLZ5Q"/>
    <s v="Cubonic Mi7 Portable Gaming Console, Beige, 4.3&amp;quot; HD Display, 20000+ Preloaded Retro Games, Built-in Stereo Speakers, Expandable Storage, Classic Controls, Long Battery Life (VividGo Mi7)"/>
    <x v="11"/>
    <n v="6199"/>
    <n v="9999"/>
    <n v="0.38"/>
    <n v="3.3"/>
    <n v="7"/>
    <n v="1"/>
    <b v="0"/>
    <b v="0"/>
    <b v="0"/>
    <b v="0"/>
    <d v="2026-06-05T00:00:00"/>
    <n v="23.099999999999998"/>
  </r>
  <r>
    <s v="B00E9891EK"/>
    <s v="Enter Usb Game Pad With Vibration E-Gpv, PC, Gamepad"/>
    <x v="11"/>
    <n v="358"/>
    <n v="750"/>
    <n v="0.52300000000000002"/>
    <n v="3.4"/>
    <n v="3595"/>
    <n v="1"/>
    <b v="0"/>
    <b v="0"/>
    <b v="0"/>
    <b v="0"/>
    <d v="2026-06-05T00:00:00"/>
    <n v="12223"/>
  </r>
  <r>
    <s v="B0GRVX4TDV"/>
    <s v="400 in 1 Mini Retro Handheld Game Console for Kids, Portable Video Game Toy with Rechargeable Battery, AV Output TV Compatible Classic Arcade Gaming Device (Multicolour)"/>
    <x v="11"/>
    <n v="548"/>
    <n v="1299"/>
    <n v="0.57799999999999996"/>
    <m/>
    <n v="0"/>
    <n v="1"/>
    <b v="0"/>
    <b v="0"/>
    <b v="0"/>
    <b v="0"/>
    <d v="2026-06-05T00:00:00"/>
    <s v=""/>
  </r>
  <r>
    <s v="B0FKPYJKFG"/>
    <s v="New 2025 Edition R36S Handheld Console Video Game | HD Screen | Portable &amp;amp; Rechargeable | Built-in 15000+ Games &amp;amp; 64 GB | 20 Emulators | Video Games for All Age Group, Purple"/>
    <x v="11"/>
    <n v="3990"/>
    <n v="7999"/>
    <n v="0.501"/>
    <n v="2.7"/>
    <n v="7"/>
    <n v="1"/>
    <b v="0"/>
    <b v="0"/>
    <b v="0"/>
    <b v="0"/>
    <d v="2026-06-05T00:00:00"/>
    <n v="18.900000000000002"/>
  </r>
  <r>
    <s v="B0H22CH5LJ"/>
    <s v="G90 7-Inch Full HD Handheld Video Game Console with 21+ Emulators, 64GB Preloaded Games, Wireless Gaming Controller, Professional Gaming Chip, Portable Retro Arcade Gaming Console for Kids &amp;amp; Adults (Red &amp;amp; Blue)"/>
    <x v="11"/>
    <n v="7999"/>
    <n v="10999"/>
    <n v="0.27300000000000002"/>
    <m/>
    <n v="0"/>
    <n v="1"/>
    <b v="0"/>
    <b v="0"/>
    <b v="0"/>
    <b v="0"/>
    <d v="2026-06-05T00:00:00"/>
    <s v=""/>
  </r>
  <r>
    <s v="B0G1V9LF2N"/>
    <s v="Gagon Traders Handheld Gaming Console for Kids &amp;amp; Adults | 520 Classic Built-in Games | Retro Video Game Player | Portable, Rechargeable, TV Output | Toy &amp;amp; Gift for Boys Girls Ages 6-14 | Mini Game Box"/>
    <x v="11"/>
    <n v="859"/>
    <n v="1589"/>
    <n v="0.45900000000000002"/>
    <n v="5"/>
    <n v="3"/>
    <n v="1"/>
    <b v="0"/>
    <b v="0"/>
    <b v="0"/>
    <b v="0"/>
    <d v="2026-06-05T00:00:00"/>
    <n v="15"/>
  </r>
  <r>
    <s v="B0FP19Y8SW"/>
    <s v="VGRASSP 400 in 1 Handheld Video Game Console for Kids â€“ Retro Portable Console with Built-in Classic Games, Rechargeable Battery, Gift for Boys &amp;amp; Girls - Multicolor"/>
    <x v="11"/>
    <n v="585"/>
    <n v="1299"/>
    <n v="0.55000000000000004"/>
    <n v="3.6"/>
    <n v="22"/>
    <n v="1"/>
    <b v="0"/>
    <b v="0"/>
    <b v="0"/>
    <b v="0"/>
    <d v="2026-06-05T00:00:00"/>
    <n v="79.2"/>
  </r>
  <r>
    <s v="B0FMYSB4SD"/>
    <s v="HZ New 2025 Edition R36S Handheld Console Video Game | HD Screen | Portable &amp;amp; Rechargeable | Built-in 15000+ Games &amp;amp; 64 GB | 20 Emulators | Games for All Age Group (Colour As Per Stock)"/>
    <x v="11"/>
    <n v="4490"/>
    <n v="9999"/>
    <n v="0.55100000000000005"/>
    <n v="3.7"/>
    <n v="8"/>
    <n v="1"/>
    <b v="0"/>
    <b v="0"/>
    <b v="0"/>
    <b v="0"/>
    <d v="2026-06-05T00:00:00"/>
    <n v="29.6"/>
  </r>
  <r>
    <s v="B0H2LXXMY6"/>
    <s v="Handheld Game Console HN-R36S , 15k+ Gamees 3.5-inch IPS Display, 64GB Storage, 1 Ram Chip (1GB) 8+ Hour Battery Life (Purple)"/>
    <x v="11"/>
    <n v="3990"/>
    <n v="9999"/>
    <n v="0.60099999999999998"/>
    <n v="5"/>
    <n v="2"/>
    <n v="1"/>
    <b v="0"/>
    <b v="0"/>
    <b v="0"/>
    <b v="0"/>
    <d v="2026-06-05T00:00:00"/>
    <n v="10"/>
  </r>
  <r>
    <s v="B0D2JGYX3F"/>
    <s v="Nex Playground Game System, Indoor Family Game Night, Fun Games &amp;amp; Physical Play, Unique AI-Powered Motion Tracking Video Game Console, Transforms Living Room into a Family or Party Games Space"/>
    <x v="11"/>
    <n v="39888"/>
    <n v="69999"/>
    <n v="0.43"/>
    <n v="4.7"/>
    <n v="4339"/>
    <n v="1"/>
    <b v="0"/>
    <b v="0"/>
    <b v="0"/>
    <b v="0"/>
    <d v="2026-06-05T00:00:00"/>
    <n v="20393.3"/>
  </r>
  <r>
    <s v="B0DM96R9T4"/>
    <s v="Sameo Handheld Video Game Console, Dreamboy Retro Mini Game with 500 Classic Retro Game TV Compatible for Kids, Rechargeable 8 Bit Classic (Ice Green)"/>
    <x v="11"/>
    <n v="1579"/>
    <n v="1599"/>
    <n v="1.2999999999999999E-2"/>
    <n v="3.7"/>
    <n v="36"/>
    <n v="1"/>
    <b v="0"/>
    <b v="0"/>
    <b v="0"/>
    <b v="0"/>
    <d v="2026-06-05T00:00:00"/>
    <n v="133.20000000000002"/>
  </r>
  <r>
    <s v="B0CWNW1FSG"/>
    <s v="Sameo iPlay+ 32 Bit Motion TV Video Game Console With All New Motion Gun with 1056 Built in Games 33 Motion Sports Games,34 Puzzle Games, 69 Casual Game, 20 Shooting Game"/>
    <x v="11"/>
    <n v="6990"/>
    <m/>
    <m/>
    <n v="3.8"/>
    <n v="81"/>
    <n v="1"/>
    <b v="0"/>
    <b v="0"/>
    <b v="0"/>
    <b v="0"/>
    <d v="2026-06-05T00:00:00"/>
    <n v="307.8"/>
  </r>
  <r>
    <s v="B0H27854GY"/>
    <s v="G90 7-Inch Full HD Handheld Video Game Console with 21+ Emulators, 64GB Preloaded Games, Wireless Gaming Controller, Professional Gaming Chip, Portable Retro Arcade Gaming Console for Kids &amp;amp; Adults (Black)"/>
    <x v="11"/>
    <n v="7999"/>
    <n v="10999"/>
    <n v="0.27300000000000002"/>
    <m/>
    <n v="0"/>
    <n v="1"/>
    <b v="0"/>
    <b v="0"/>
    <b v="0"/>
    <b v="0"/>
    <d v="2026-06-05T00:00:00"/>
    <s v=""/>
  </r>
  <r>
    <s v="B0F5N6LWVR"/>
    <s v="Sameo Thunder NX Handheld Game Console â€“ 64GB 15000+ Games 4.5â€ IPS Display Retro Gaming Dual-Core"/>
    <x v="11"/>
    <n v="5250"/>
    <n v="5299"/>
    <n v="8.9999999999999993E-3"/>
    <n v="3.5"/>
    <n v="3"/>
    <n v="1"/>
    <b v="0"/>
    <b v="0"/>
    <b v="0"/>
    <b v="0"/>
    <d v="2026-06-05T00:00:00"/>
    <n v="10.5"/>
  </r>
  <r>
    <s v="B0GWQ7YQPB"/>
    <s v="PICSTAR GS5 Pro Classic TV Video Game Console with 30000 Games and 1080 Output with 53 Simulators for PSP Games"/>
    <x v="11"/>
    <n v="4990"/>
    <n v="6999"/>
    <n v="0.28699999999999998"/>
    <n v="3.3"/>
    <n v="16"/>
    <n v="1"/>
    <b v="0"/>
    <b v="0"/>
    <b v="0"/>
    <b v="0"/>
    <d v="2026-06-05T00:00:00"/>
    <n v="52.8"/>
  </r>
  <r>
    <s v="B0CR8GPW2V"/>
    <s v="NextTech 4K Plug &amp;amp; Play Retro Gaming Console | Built-in Classic Games | HDMI TV Compatible Game Stick | Dual Wireless Gamepads | Perfect Family &amp;amp; Kids Entertainment Device"/>
    <x v="11"/>
    <n v="899"/>
    <n v="1599"/>
    <n v="0.438"/>
    <n v="4.8"/>
    <n v="4"/>
    <n v="1"/>
    <b v="0"/>
    <b v="0"/>
    <b v="0"/>
    <b v="0"/>
    <d v="2026-06-05T00:00:00"/>
    <n v="19.2"/>
  </r>
  <r>
    <s v="B0FCR5ZD7R"/>
    <s v="R36MAX Retro Gaming Console, Handheld Game Console with 4000mAh Battery 4.0â€IPS Screen, Open Source Linux System, 64GB TF Card Portable Pocket Arcade, Transparent Black"/>
    <x v="11"/>
    <n v="4900"/>
    <n v="6990"/>
    <n v="0.29899999999999999"/>
    <n v="3.2"/>
    <n v="75"/>
    <n v="1"/>
    <b v="0"/>
    <b v="0"/>
    <b v="0"/>
    <b v="0"/>
    <d v="2026-06-05T00:00:00"/>
    <n v="240"/>
  </r>
  <r>
    <s v="B0H26B34WQ"/>
    <s v="LEROKAS J36 Ultra Handheld Gaming Console, Portable Retro Game Player, RGB Dual Joysticks, Orange"/>
    <x v="11"/>
    <n v="4999"/>
    <n v="6999"/>
    <n v="0.28599999999999998"/>
    <m/>
    <n v="0"/>
    <n v="1"/>
    <b v="0"/>
    <b v="0"/>
    <b v="0"/>
    <b v="0"/>
    <d v="2026-06-05T00:00:00"/>
    <s v=""/>
  </r>
  <r>
    <s v="B0GDZ42HK1"/>
    <s v="Gagon Traders 8 Bit TV Video Game Console with 2 Controllers, Gun, AV Cable, Adapter, Grey, Retro Gaming System With Two Free Cassettes"/>
    <x v="11"/>
    <n v="1799"/>
    <n v="5889"/>
    <n v="0.69499999999999995"/>
    <m/>
    <n v="0"/>
    <n v="1"/>
    <b v="0"/>
    <b v="0"/>
    <b v="0"/>
    <b v="0"/>
    <d v="2026-06-05T00:00:00"/>
    <s v=""/>
  </r>
  <r>
    <s v="B0GWMMDBKP"/>
    <s v="PICSTAR GS5Pro Retro Gaming Console - Wireless Controller Gamepad- 1080P HD Graphics, 64GB Storage,Video Game TV Stick for All Ages"/>
    <x v="11"/>
    <n v="4849"/>
    <n v="6999"/>
    <n v="0.307"/>
    <n v="4.3"/>
    <n v="9"/>
    <n v="1"/>
    <b v="0"/>
    <b v="0"/>
    <b v="0"/>
    <b v="0"/>
    <d v="2026-06-05T00:00:00"/>
    <n v="38.699999999999996"/>
  </r>
  <r>
    <s v="B0DHQXRH1S"/>
    <s v="iNext INT-333 Retro Gaming Console - 98,800 Pre-Installed Games | Plug &amp;amp; Play | HD Output | 1 Player &amp;amp; User vs. Computer Mode | for Kids, Adults &amp;amp; Family Entertainment"/>
    <x v="11"/>
    <n v="499"/>
    <n v="999"/>
    <n v="0.501"/>
    <n v="1"/>
    <n v="1"/>
    <n v="1"/>
    <b v="0"/>
    <b v="0"/>
    <b v="0"/>
    <b v="0"/>
    <d v="2026-06-05T00:00:00"/>
    <n v="1"/>
  </r>
  <r>
    <s v="B0F6FV8BSR"/>
    <s v="Endzone Video Games For Kids 520 in 1 Controller Gamepad Video Game, Retro Gaming Console, Gameboy Age 7, Digital Game Player, Pocket Gamer, Handheld Gaming Console,"/>
    <x v="11"/>
    <n v="777"/>
    <n v="1499"/>
    <n v="0.48199999999999998"/>
    <n v="3.8"/>
    <n v="29"/>
    <n v="1"/>
    <b v="0"/>
    <b v="0"/>
    <b v="0"/>
    <b v="0"/>
    <d v="2026-06-05T00:00:00"/>
    <n v="110.19999999999999"/>
  </r>
  <r>
    <s v="B0H1QKTDBT"/>
    <s v="R36S Retro Handheld Video Game Console 3.5 inch Retro Handheld Video Games Consoles Built-in Rechargeable Battery Portable Style Hand Held Game Consoles"/>
    <x v="11"/>
    <n v="3399"/>
    <n v="9999"/>
    <n v="0.66"/>
    <m/>
    <n v="0"/>
    <n v="1"/>
    <b v="0"/>
    <b v="0"/>
    <b v="0"/>
    <b v="0"/>
    <d v="2026-06-05T00:00:00"/>
    <s v=""/>
  </r>
  <r>
    <s v="B0H21QN4GX"/>
    <s v="New 2026 PoweNri M8 Retro Game Console HDMI for TV | Plug &amp;amp; Play Gaming Stick with Wireless Controllers | 1080p HD Display | 2 Player Support | Compact Gaming Device | Black"/>
    <x v="11"/>
    <n v="1999"/>
    <n v="3999"/>
    <n v="0.5"/>
    <m/>
    <n v="0"/>
    <n v="1"/>
    <b v="0"/>
    <b v="0"/>
    <b v="0"/>
    <b v="0"/>
    <d v="2026-06-05T00:00:00"/>
    <s v=""/>
  </r>
  <r>
    <s v="B0FFTCW4C7"/>
    <s v="BELOXY Handheld Gaming Console for Kids &amp;amp; Adults | 520 Classic Built-in Games | Retro Video Game Player | Portable, Rechargeable, TV Output | Toy &amp;amp; Gift for Boys Girls Ages 6-14 | Mini Game Box"/>
    <x v="11"/>
    <n v="799"/>
    <n v="1599"/>
    <n v="0.5"/>
    <n v="3.6"/>
    <n v="42"/>
    <n v="1"/>
    <b v="0"/>
    <b v="0"/>
    <b v="0"/>
    <b v="0"/>
    <d v="2026-06-05T00:00:00"/>
    <n v="151.20000000000002"/>
  </r>
  <r>
    <s v="B0F7H338CZ"/>
    <s v="BELOXY Handheld 400 in 1 Video Game for Kids, Rechargeable Game Box with TV Output &amp;amp; with Gaming Console Style 3, Red"/>
    <x v="11"/>
    <n v="592"/>
    <n v="1399"/>
    <n v="0.57699999999999996"/>
    <n v="3.3"/>
    <n v="179"/>
    <n v="1"/>
    <b v="0"/>
    <b v="0"/>
    <b v="0"/>
    <b v="0"/>
    <d v="2026-06-05T00:00:00"/>
    <n v="590.69999999999993"/>
  </r>
  <r>
    <s v="B0DV9MB616"/>
    <s v="VOILA M33 Retro Gaming Console, Video Game Console for TV, Gaming Controller, Games Stick, Ultimate 90s Gamepad. 4k HD, 64GB. CE, ROHS, and BIS Certified, Original Unit"/>
    <x v="11"/>
    <n v="4948"/>
    <n v="7999"/>
    <n v="0.38100000000000001"/>
    <n v="2.9"/>
    <n v="15"/>
    <n v="1"/>
    <b v="0"/>
    <b v="0"/>
    <b v="0"/>
    <b v="0"/>
    <d v="2026-06-05T00:00:00"/>
    <n v="43.5"/>
  </r>
  <r>
    <s v="B0CY9169L2"/>
    <s v="New World an/bernic RG35XX H Retro Handheld Game Console 3.5 in IPS Screen Built-in 3300mAH Battery 64G TF Card , Classic Games Console (Black)"/>
    <x v="11"/>
    <n v="9700"/>
    <n v="9999"/>
    <n v="0.03"/>
    <n v="3.9"/>
    <n v="15"/>
    <n v="1"/>
    <b v="0"/>
    <b v="0"/>
    <b v="0"/>
    <b v="0"/>
    <d v="2026-06-05T00:00:00"/>
    <n v="58.5"/>
  </r>
  <r>
    <s v="B0GXPL2ZTD"/>
    <s v="Wireless Gaming Console Set compatible with GS5 Style, White and Black, 2 Controllers with USB Dongle Included"/>
    <x v="11"/>
    <n v="4589"/>
    <n v="8999"/>
    <n v="0.49"/>
    <m/>
    <n v="0"/>
    <n v="1"/>
    <b v="0"/>
    <b v="0"/>
    <b v="0"/>
    <b v="0"/>
    <d v="2026-06-05T00:00:00"/>
    <s v=""/>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s v="B0FN7QTRPY"/>
    <s v="Samsung Galaxy M07 Mobile (Black, 4GB RAM, 64GB Storage) | MediaTek Helio G99 | AnTuTu 624K | IP54| 50MP Camera | 7.6mm Slim | 5000mAh Battery | 25W Fast Charging | 6 Gen OS Upgrades | Without Charger"/>
    <x v="0"/>
    <n v="9999"/>
    <n v="10999"/>
    <n v="9.0999999999999998E-2"/>
    <n v="4.2"/>
    <n v="1550"/>
    <n v="1"/>
    <b v="0"/>
    <b v="0"/>
    <b v="0"/>
    <b v="0"/>
    <d v="2026-06-05T00:00:00"/>
  </r>
  <r>
    <s v="B0GFW1BJ1D"/>
    <s v="realme C71 4G Smartphone 6GB+128GB,6.745 inch Screen, 90Hz Eye Comfort Display, 6300mAh Battery, 37MP Cameras, Unisoc T7250 Chip, IP54, Sea Blue"/>
    <x v="0"/>
    <n v="13999"/>
    <m/>
    <m/>
    <n v="3.8"/>
    <n v="303"/>
    <n v="1"/>
    <b v="0"/>
    <b v="0"/>
    <b v="0"/>
    <b v="0"/>
    <d v="2026-06-05T00:00:00"/>
  </r>
  <r>
    <s v="B0FT7T3GZF"/>
    <s v="SAMSUNG Galaxy F07 (Green, 64 GB) (4 GB RAM)"/>
    <x v="0"/>
    <n v="10168"/>
    <n v="10999"/>
    <n v="7.5999999999999998E-2"/>
    <n v="3.7"/>
    <n v="137"/>
    <n v="1"/>
    <b v="0"/>
    <b v="0"/>
    <b v="0"/>
    <b v="0"/>
    <d v="2026-06-05T00:00:00"/>
  </r>
  <r>
    <s v="B0H1B6WTN3"/>
    <s v="realme NARZO 80 Lite 4G (Beach Gold 2026, 4GB+64GB) | 6300mAh Segment&amp;#x27;s Biggest Battery | 7.94mm Slim Design | 300% Ultra Volume | Pulse Light: 9 Colors, 5 Glow Modes | Ai Assist"/>
    <x v="0"/>
    <n v="11999"/>
    <n v="16999"/>
    <n v="0.29399999999999998"/>
    <n v="4.2"/>
    <n v="2964"/>
    <n v="1"/>
    <b v="0"/>
    <b v="0"/>
    <b v="0"/>
    <b v="0"/>
    <d v="2026-06-05T00:00:00"/>
  </r>
  <r>
    <s v="B0G49YZTTW"/>
    <s v="realme NARZO 90 5G (Carbon Black,8GB+128GB) | 7000mAh Biggest Battery | 60W Fastest Charging | 50MP Front &amp;amp; Rear AI Cameras | 4000nits Brightest Display | AI Assist | IP69 Dust &amp;amp; Water Resistance"/>
    <x v="0"/>
    <n v="19999"/>
    <m/>
    <m/>
    <n v="4.0999999999999996"/>
    <n v="978"/>
    <n v="1"/>
    <b v="0"/>
    <b v="0"/>
    <b v="1"/>
    <b v="0"/>
    <d v="2026-06-05T00:00:00"/>
  </r>
  <r>
    <s v="B0GVYXPZBS"/>
    <s v="OnePlus Nord CE6 Lite | 8GB+128GB | Hyper Black | Segment&amp;#x27;s Fastest Dimensity 7400 Apex Processor | 7000mAh Battery | Segment&amp;#x27;s Highest 144Hz Refresh Rate | 50MP Main Camera, 4K Video Recording"/>
    <x v="0"/>
    <n v="25998"/>
    <n v="33999"/>
    <n v="0.23499999999999999"/>
    <n v="4.2"/>
    <n v="318"/>
    <n v="1"/>
    <b v="0"/>
    <b v="0"/>
    <b v="0"/>
    <b v="0"/>
    <d v="2026-06-05T00:00:00"/>
  </r>
  <r>
    <s v="B0DX6P3RX9"/>
    <s v="Samsung Galaxy M06 5G Mobile (Sage Green, 4GB RAM, 128GB Storage) | MediaTek Dimensity 6300 | AnTuTu 623K+ | 12 5G Bands | 25W Fast Charging | 4 Gen OS Upgrades | 50MP Camera | Without Charger"/>
    <x v="0"/>
    <n v="13999"/>
    <m/>
    <m/>
    <n v="4"/>
    <n v="2865"/>
    <n v="1"/>
    <b v="0"/>
    <b v="0"/>
    <b v="0"/>
    <b v="0"/>
    <d v="2026-06-05T00:00:00"/>
  </r>
  <r>
    <s v="B0GS97F668"/>
    <s v="Pro 10 -Mini 4G Smartphone 4.5&amp;quot; Display | 3GB RAM 32GB Storage (Up to 128GB) | Dual SIM | 2350mAh Battery | Type-C Charging | Android Phone for Travel, Kids &amp;amp; Backup Use | Color as per Stock"/>
    <x v="0"/>
    <n v="4999"/>
    <n v="10990"/>
    <n v="0.54500000000000004"/>
    <n v="3"/>
    <n v="6"/>
    <n v="1"/>
    <b v="0"/>
    <b v="0"/>
    <b v="0"/>
    <b v="0"/>
    <d v="2026-06-05T00:00:00"/>
  </r>
  <r>
    <s v="B0F8ZVRLZB"/>
    <s v="Samsung Galaxy F06 5G, Lit Voilet (6GB, 128GB)"/>
    <x v="0"/>
    <n v="14094"/>
    <n v="15499"/>
    <n v="9.0999999999999998E-2"/>
    <n v="4.2"/>
    <n v="129"/>
    <n v="12"/>
    <b v="0"/>
    <b v="0"/>
    <b v="0"/>
    <b v="0"/>
    <d v="2026-06-05T00:00:00"/>
  </r>
  <r>
    <s v="B0DYP4NYYJ"/>
    <s v="Samsung Galaxy F06 5G, Bahama Blue (4GB, 128GB)"/>
    <x v="0"/>
    <n v="12990"/>
    <n v="13999"/>
    <n v="7.1999999999999995E-2"/>
    <n v="4.0999999999999996"/>
    <n v="823"/>
    <n v="13"/>
    <b v="0"/>
    <b v="0"/>
    <b v="0"/>
    <b v="0"/>
    <d v="2026-06-05T00:00:00"/>
  </r>
  <r>
    <s v="B0GTQ5X45R"/>
    <s v="acerpure Acerone Liquid 4G Smartphone (Blue, 4GB RAM, 64GB Storage) with 6.5&amp;quot; IPS Display, 20MP Rear Camera, 5000mAh Battery, Android 14, Octa-Core MT6765 Processor"/>
    <x v="0"/>
    <n v="7999"/>
    <n v="18900"/>
    <n v="0.57699999999999996"/>
    <n v="3.4"/>
    <n v="26"/>
    <n v="2"/>
    <b v="0"/>
    <b v="0"/>
    <b v="0"/>
    <b v="0"/>
    <d v="2026-06-05T00:00:00"/>
  </r>
  <r>
    <s v="B0GS5Y7QBF"/>
    <s v="REDMI A7 Pro 5G (Mist Blue, 4GB RAM, 64GB Storage) | Segment&amp;#x27;s Fastest Processor | Segment&amp;#x27;s Largest Battery | Segment&amp;#x27;s Largest &amp;amp; Smoothest 6.9in 120Hz Display"/>
    <x v="0"/>
    <n v="12999"/>
    <n v="15999"/>
    <n v="0.188"/>
    <n v="3.6"/>
    <n v="569"/>
    <n v="1"/>
    <b v="0"/>
    <b v="0"/>
    <b v="0"/>
    <b v="0"/>
    <d v="2026-06-05T00:00:00"/>
  </r>
  <r>
    <s v="B0GTRHJYYF"/>
    <s v="realme narzo 100 Lite 5G (Frost Silver,4GB+128GB) | 7000mAh Titan Battery | 4 Years, Zero Lag | 144 Hz Ultra Smooth Display | 6 nm Octa-core 5G Chipset | Color Pop Design | VC Cooling"/>
    <x v="0"/>
    <n v="15998"/>
    <n v="27999"/>
    <n v="0.42899999999999999"/>
    <n v="3.9"/>
    <n v="99"/>
    <n v="1"/>
    <b v="0"/>
    <b v="0"/>
    <b v="0"/>
    <b v="0"/>
    <d v="2026-06-05T00:00:00"/>
  </r>
  <r>
    <s v="B0GN16HF5W"/>
    <s v="Samsung Galaxy M17e 5G Mobile (Blitz Blue, 6GB RAM, 128GB Storage) | Smoothest 120 Hz Refresh Rate| Monster 6000 mAh Battery | IP54 | 6 Gen OS Upgrades | AI | Gemini Live | Without Charger"/>
    <x v="0"/>
    <n v="15999"/>
    <n v="20999"/>
    <n v="0.23799999999999999"/>
    <n v="3.5"/>
    <n v="37"/>
    <n v="1"/>
    <b v="0"/>
    <b v="0"/>
    <b v="0"/>
    <b v="0"/>
    <d v="2026-06-05T00:00:00"/>
  </r>
  <r>
    <s v="B0GPDJ1PRN"/>
    <s v="OPPO K14x 5G Smartphone, 6GB RAM, 128GB Storage, ICY Blue, Dual Camera, 48-Month Fluency Protection"/>
    <x v="0"/>
    <n v="17630"/>
    <n v="23999"/>
    <n v="0.26500000000000001"/>
    <n v="3.8"/>
    <n v="34"/>
    <n v="1"/>
    <b v="0"/>
    <b v="0"/>
    <b v="0"/>
    <b v="0"/>
    <d v="2026-06-05T00:00:00"/>
  </r>
  <r>
    <s v="B0GVG27VS7"/>
    <s v="REDMI A7 Pro 4G (Black, 4GB RAM, 64GB Storage) | Segment&amp;#x27;s Slimmest Smartphone | Segment&amp;#x27;s Largest 6300mAh Battery | Segment&amp;#x27;s Largest 17.53cm and Smoothest 120Hz Display | Charger in the Box"/>
    <x v="0"/>
    <n v="12499"/>
    <n v="15999"/>
    <n v="0.219"/>
    <n v="3.5"/>
    <n v="23"/>
    <n v="2"/>
    <b v="0"/>
    <b v="0"/>
    <b v="0"/>
    <b v="0"/>
    <d v="2026-06-05T00:00:00"/>
  </r>
  <r>
    <s v="B0GRBHNCTZ"/>
    <s v="OnePlus Nord 6 | 12GB+256GB | Fresh Mint | Snapdragon 8s Gen 4 | Segment&amp;#x27;s First Stable 165FPS Gaming | Segment&amp;#x27;s Largest 9000mAh Battery | Most Complete IP Rating | Personalized AI"/>
    <x v="0"/>
    <n v="47998"/>
    <n v="56999"/>
    <n v="0.158"/>
    <n v="4.3"/>
    <n v="1180"/>
    <n v="1"/>
    <b v="0"/>
    <b v="0"/>
    <b v="0"/>
    <b v="0"/>
    <d v="2026-06-05T00:00:00"/>
  </r>
  <r>
    <s v="B0GP7BD27Q"/>
    <s v="iQOO Z11x 5G (Titan Black, 6GB RAM, 128 GB Storage) | Dimensity 7400-Turbo Processor | 7200 mAh Battery | 4K Video Recording Front &amp;amp; Back | IP68 &amp;amp; IP69+ | Powered by OriginOS 6"/>
    <x v="0"/>
    <n v="22999"/>
    <n v="28999"/>
    <n v="0.20699999999999999"/>
    <n v="4.2"/>
    <n v="827"/>
    <n v="1"/>
    <b v="0"/>
    <b v="0"/>
    <b v="0"/>
    <b v="0"/>
    <d v="2026-06-05T00:00:00"/>
  </r>
  <r>
    <s v="B0F43WXC8K"/>
    <s v="Samsung Galaxy M56 5G Mobile (Black, 8GB RAM, 128GB Storage)| Segment Slimmest | Gorilla Glass Victus+ | 10 Bit HDR Video | 50MP Camera | AI | Vapour Cooling Chamber | Lag-free Gaming| Without Charger"/>
    <x v="0"/>
    <n v="23498"/>
    <n v="33999"/>
    <n v="0.309"/>
    <n v="4.3"/>
    <n v="1943"/>
    <n v="1"/>
    <b v="0"/>
    <b v="0"/>
    <b v="0"/>
    <b v="0"/>
    <d v="2026-06-05T00:00:00"/>
  </r>
  <r>
    <s v="B0F1D9LCK3"/>
    <s v="realme NARZO 80 Pro 5G (Speed Silver,8GB+256GB) | Segment&amp;#x27;s 1st MediaTek Dimensity 7400 Chipset | 6000mAh Titan Battery + 80W Ultra Charge | 4500nits HyperGlow Esports Display | IP69 Waterproof"/>
    <x v="0"/>
    <n v="23999"/>
    <n v="25999"/>
    <n v="7.6999999999999999E-2"/>
    <n v="4.3"/>
    <n v="2832"/>
    <n v="1"/>
    <b v="0"/>
    <b v="0"/>
    <b v="0"/>
    <b v="0"/>
    <d v="2026-06-05T00:00:00"/>
  </r>
  <r>
    <s v="B0FN7RN9TH"/>
    <s v="Samsung Galaxy M17 5G Mobile (Sapphire Black, 4GB RAM, 128GB Storage) | 50MP OIS Triple Camera | Gorilla Glass Victus | IP54 | 6 Gen OS Upgrades | AI | Gemini Live | Lag-Free Gaming | Without Charger"/>
    <x v="0"/>
    <n v="14999"/>
    <n v="16499"/>
    <n v="9.0999999999999998E-2"/>
    <n v="4"/>
    <n v="2910"/>
    <n v="1"/>
    <b v="0"/>
    <b v="0"/>
    <b v="0"/>
    <b v="0"/>
    <d v="2026-06-05T00:00:00"/>
  </r>
  <r>
    <s v="B0G29VSZF6"/>
    <s v="REDMI 15C 5G Dusk Purple 8GB + 128GB | Royale Design | Massive 6000mAh Battery | Segment&amp;#x27;s Largest 17.53cm Display Up to 120Hz | MediaTek Dimensity 6300 | 33W Fast Charging | 50MP AI Dual Camera"/>
    <x v="0"/>
    <n v="20999"/>
    <n v="33999"/>
    <n v="0.38200000000000001"/>
    <n v="3.9"/>
    <n v="727"/>
    <n v="1"/>
    <b v="0"/>
    <b v="0"/>
    <b v="0"/>
    <b v="0"/>
    <d v="2026-06-05T00:00:00"/>
  </r>
  <r>
    <s v="B0GN1P5CSY"/>
    <s v="Samsung Galaxy M17e 5G Mobile (Vibe Violet, 4GB RAM, 128GB Storage) | Smoothest 120 Hz Refresh Rate| Monster 6000 mAh Battery | IP54 | 6 Gen OS Upgrades | AI | Gemini Live | Without Charger"/>
    <x v="0"/>
    <n v="13999"/>
    <n v="16999"/>
    <n v="0.17599999999999999"/>
    <n v="3.9"/>
    <n v="249"/>
    <n v="1"/>
    <b v="0"/>
    <b v="0"/>
    <b v="0"/>
    <b v="0"/>
    <d v="2026-06-05T00:00:00"/>
  </r>
  <r>
    <s v="B0GSVFNTBW"/>
    <s v="SHIVANSH 14 Pro Mini 4G Smartphone | 3GB RAM 32GB Storage (Expandable 128GB) | 4.05 Inch Compact Display | Dual SIM | Android 12 | Type-C Charging | Pocket Size Mobile (Color as per Stock)"/>
    <x v="0"/>
    <n v="4890"/>
    <n v="10990"/>
    <n v="0.55500000000000005"/>
    <n v="2.6"/>
    <n v="7"/>
    <n v="1"/>
    <b v="0"/>
    <b v="0"/>
    <b v="0"/>
    <b v="0"/>
    <d v="2026-06-05T00:00:00"/>
  </r>
  <r>
    <s v="B0GL1WGHJX"/>
    <s v="Lava Bold N2 (Indus Black, 4 GB RAM, 64 GB Storage) | 13MP AI Dual Rear Camera | Largest 6.75&amp;quot; HD+ Display | 5000 mAh Battery &amp;amp; 10W Charging | IP64 Water &amp;amp; Dust Proof | Charger &amp;amp; Phone-Case in Box"/>
    <x v="0"/>
    <n v="8899"/>
    <n v="10499"/>
    <n v="0.152"/>
    <n v="3.6"/>
    <n v="149"/>
    <n v="1"/>
    <b v="0"/>
    <b v="0"/>
    <b v="0"/>
    <b v="0"/>
    <d v="2026-06-05T00:00:00"/>
  </r>
  <r>
    <s v="B0FJFSHJ6Z"/>
    <s v="Redmi 15 5G Midnight Black 8GB + 256GB | Segment&amp;#x27;s Largest 7000mAhA Battery | Segment&amp;#x27;s Largest Display 17.53cm(6.9) Up to 144Hz | Snapdragon 6s Gen 3 | 18W Reverse Charging | 50MP AI Dual Camera"/>
    <x v="0"/>
    <n v="24499"/>
    <n v="36999"/>
    <n v="0.33800000000000002"/>
    <n v="4.0999999999999996"/>
    <n v="2138"/>
    <n v="1"/>
    <b v="0"/>
    <b v="0"/>
    <b v="0"/>
    <b v="0"/>
    <d v="2026-06-05T00:00:00"/>
  </r>
  <r>
    <s v="B0GP88QJL8"/>
    <s v="Google Pixel 10a 5G (Obsidian, 8GB RAM, 256GB Storage)"/>
    <x v="0"/>
    <n v="48250"/>
    <n v="49999"/>
    <n v="3.5000000000000003E-2"/>
    <n v="4.3"/>
    <n v="69"/>
    <n v="1"/>
    <b v="0"/>
    <b v="0"/>
    <b v="0"/>
    <b v="0"/>
    <d v="2026-06-05T00:00:00"/>
  </r>
  <r>
    <s v="B0FZSXYV6K"/>
    <s v="OnePlus 15R | 12GB+512GB | Charcoal Black | World&amp;#x27;s First SnapdragonÂ® 8 Gen 5 | 7400mAh Battery | Personalised AI | Game-Changing 165Hz Display | IP68 IP69 IP66 &amp;amp; IP69K | 4K 120fps Video"/>
    <x v="0"/>
    <n v="59999"/>
    <m/>
    <m/>
    <n v="4.5"/>
    <n v="1585"/>
    <n v="1"/>
    <b v="0"/>
    <b v="0"/>
    <b v="0"/>
    <b v="0"/>
    <d v="2026-06-05T00:00:00"/>
  </r>
  <r>
    <s v="B0GS5SM6JR"/>
    <s v="REDMI A7 Pro 5G (Black, 4GB RAM, 64GB Storage) | Segment&amp;#x27;s Fastest Processor | Segment&amp;#x27;s Largest Battery | Segment&amp;#x27;s Largest &amp;amp; Smoothest 6.9in 120Hz Display"/>
    <x v="0"/>
    <n v="12999"/>
    <n v="15999"/>
    <n v="0.188"/>
    <n v="3.6"/>
    <n v="569"/>
    <n v="1"/>
    <b v="0"/>
    <b v="0"/>
    <b v="0"/>
    <b v="0"/>
    <d v="2026-06-05T00:00:00"/>
  </r>
  <r>
    <s v="B0FW3RP8YJ"/>
    <s v="Samsung Galaxy A17 5G (Blue, 6GB RAM, 128GB Storage) | 50 MP No Shake Camera | Gemini Live | Circle to Search | Super AMOLED | Corning Gorilla Glass Victus | 7.5mm Sleek | AI"/>
    <x v="0"/>
    <n v="20499"/>
    <n v="22999"/>
    <n v="0.109"/>
    <n v="4.0999999999999996"/>
    <n v="151"/>
    <n v="1"/>
    <b v="0"/>
    <b v="0"/>
    <b v="0"/>
    <b v="0"/>
    <d v="2026-06-05T00:00:00"/>
  </r>
  <r>
    <s v="B0GS5V95DB"/>
    <s v="REDMI A7 Pro 5G (Sunset Orange, 4GB RAM,128GB Storage) | Segment&amp;#x27;s Fastest Processor | Segment&amp;#x27;s Largest Battery | Segment&amp;#x27;s Largest &amp;amp; Smoothest 6.9in 120Hz Display"/>
    <x v="0"/>
    <n v="13999"/>
    <n v="16999"/>
    <n v="0.17599999999999999"/>
    <n v="3.6"/>
    <n v="569"/>
    <n v="1"/>
    <b v="0"/>
    <b v="0"/>
    <b v="0"/>
    <b v="0"/>
    <d v="2026-06-05T00:00:00"/>
  </r>
  <r>
    <s v="B0DYKC512N"/>
    <s v="Samsung Galaxy F06 5G (Bahama Blue, 128 GB) (6 GB RAM)"/>
    <x v="0"/>
    <n v="14147"/>
    <n v="15499"/>
    <n v="8.6999999999999994E-2"/>
    <n v="4"/>
    <n v="213"/>
    <n v="1"/>
    <b v="0"/>
    <b v="0"/>
    <b v="0"/>
    <b v="0"/>
    <d v="2026-06-05T00:00:00"/>
  </r>
  <r>
    <s v="B0G8Y3GWQR"/>
    <s v="Oppo Reno15c 5G (Twilight Blue, 8GB RAM, 256GB Storage) with No Cost EMI/Additional Exchange Offers"/>
    <x v="0"/>
    <n v="37999"/>
    <n v="42999"/>
    <n v="0.11600000000000001"/>
    <n v="4"/>
    <n v="106"/>
    <n v="1"/>
    <b v="0"/>
    <b v="0"/>
    <b v="0"/>
    <b v="0"/>
    <d v="2026-06-05T00:00:00"/>
  </r>
  <r>
    <s v="B0GSRJ52CQ"/>
    <s v="OPPO K14x 5G Smartphone, Prism Violet, 4GB RAM, 64GB Storage, 6500mAh Battery, 45W Fast Charge"/>
    <x v="0"/>
    <n v="15909"/>
    <n v="20000"/>
    <n v="0.20499999999999999"/>
    <n v="4.3"/>
    <n v="15"/>
    <n v="4"/>
    <b v="0"/>
    <b v="0"/>
    <b v="0"/>
    <b v="0"/>
    <d v="2026-06-05T00:00:00"/>
  </r>
  <r>
    <s v="B07Z6JYPTW"/>
    <s v="Mi Redmi 8 Ruby Red, 4GB RAM, 64GB Storage Smartphone"/>
    <x v="0"/>
    <m/>
    <m/>
    <m/>
    <n v="3.9"/>
    <n v="224"/>
    <n v="1"/>
    <b v="0"/>
    <b v="0"/>
    <b v="0"/>
    <b v="0"/>
    <d v="2026-06-05T00:00:00"/>
  </r>
  <r>
    <s v="B0GF2H24ZJ"/>
    <s v="REDMI Note 15 Pro+ 5G (Coffee Mocha, 12GB + 512GB) | 200MasterPixel OIS Camera | Snapdragon 7s Gen 4 | CrystalRes AMOLED | IP69/69K | 6500mAh Si/C Battery | 100W HyperCharge"/>
    <x v="0"/>
    <n v="44999"/>
    <m/>
    <m/>
    <n v="4.2"/>
    <n v="262"/>
    <n v="1"/>
    <b v="0"/>
    <b v="0"/>
    <b v="0"/>
    <b v="0"/>
    <d v="2026-06-05T00:00:00"/>
  </r>
  <r>
    <s v="B0GTV6S8Q2"/>
    <s v="vivo T5x 5G (Star Silver, 8GB RAM, 256GB Storage) | 50MP AI Dual Camera | 32MP Selfie | 6.76&amp;quot; FHD+ Display | 7200mAh Battery | Dimensity 7400-Turbo Processor | Fast Charging | Dual SIM Smartphone"/>
    <x v="0"/>
    <n v="26909"/>
    <n v="35999"/>
    <n v="0.253"/>
    <n v="4.3"/>
    <n v="73"/>
    <n v="9"/>
    <b v="0"/>
    <b v="0"/>
    <b v="0"/>
    <b v="0"/>
    <d v="2026-06-05T00:00:00"/>
  </r>
  <r>
    <s v="B0DDYBQWLW"/>
    <s v="Motorola G45 5G (Brilliant Green, 8GB RAM, 128GB Storage) | 6.5&amp;quot; FHD+ Display | Snapdragon 6 Gen1 Processor | 50MP Camera | 16MP Front Camera | 5000mAh Battery | 33W Charging"/>
    <x v="0"/>
    <n v="12269"/>
    <m/>
    <m/>
    <n v="4.0999999999999996"/>
    <n v="1853"/>
    <n v="1"/>
    <b v="0"/>
    <b v="0"/>
    <b v="0"/>
    <b v="0"/>
    <d v="2026-06-05T00:00:00"/>
  </r>
  <r>
    <s v="B0GWDDKGNP"/>
    <s v="Lava Bold N1 5G (Champagne Gold, 6GB RAM, 128GB Storage) |Bigger 6.75&amp;quot; HD+ Notch Display | Octacore 5G Processor | 13 MP AI Camera |5000 mAh Battery| IP54 Rated Dust &amp;amp; Water Splash Proof"/>
    <x v="0"/>
    <n v="13499"/>
    <n v="16999"/>
    <n v="0.20599999999999999"/>
    <n v="3.6"/>
    <n v="45"/>
    <n v="1"/>
    <b v="0"/>
    <b v="0"/>
    <b v="0"/>
    <b v="0"/>
    <d v="2026-06-05T00:00:00"/>
  </r>
  <r>
    <s v="B0GP8XTH7K"/>
    <s v="iQOO Z11x 5G (Prismatic Green, 8GB RAM, 256 GB Storage) | Dimensity 7400-Turbo Processor | 7200 mAh Battery | 4K Video Recording Front &amp;amp; Back | IP68 &amp;amp; IP69+ | Powered by OriginOS 6"/>
    <x v="0"/>
    <n v="26999"/>
    <n v="33999"/>
    <n v="0.20599999999999999"/>
    <n v="4.2"/>
    <n v="827"/>
    <n v="1"/>
    <b v="0"/>
    <b v="0"/>
    <b v="0"/>
    <b v="0"/>
    <d v="2026-06-05T00:00:00"/>
  </r>
  <r>
    <s v="B0FRNNP6F5"/>
    <s v="POCO M7 Plus 5G, Carbon Black (6GB, 128GB)"/>
    <x v="0"/>
    <n v="15499"/>
    <n v="16999"/>
    <n v="8.7999999999999995E-2"/>
    <n v="3.7"/>
    <n v="69"/>
    <n v="1"/>
    <b v="0"/>
    <b v="0"/>
    <b v="0"/>
    <b v="0"/>
    <d v="2026-06-05T00:00:00"/>
  </r>
  <r>
    <s v="B0G5G7LNCV"/>
    <s v="REDMI Note 15 5G (Glacier Blue, 8GB RAM 256GB Storage) | 108MP OIS Camera | Snapdragon 6 Gen 3 | 17.2cm Tough Curved AMOLED Screen | 5520mAh Battery | 45W Fast Charging"/>
    <x v="0"/>
    <n v="28999"/>
    <m/>
    <m/>
    <n v="4.2"/>
    <n v="831"/>
    <n v="1"/>
    <b v="0"/>
    <b v="0"/>
    <b v="0"/>
    <b v="0"/>
    <d v="2026-06-05T00:00:00"/>
  </r>
  <r>
    <s v="B0GZWDFQPN"/>
    <s v="POCO C81, Sky Blue (4GB, 64GB)"/>
    <x v="0"/>
    <n v="11179"/>
    <n v="19999"/>
    <n v="0.441"/>
    <m/>
    <n v="0"/>
    <n v="1"/>
    <b v="0"/>
    <b v="0"/>
    <b v="0"/>
    <b v="0"/>
    <d v="2026-06-05T00:00:00"/>
  </r>
  <r>
    <s v="B0GL83ZTP8"/>
    <s v="iQOO 15R (Dark Knight, 8GB RAM, 256GB Storage) | SnapdragonÂ® 8 Gen 5 Processor | Indiaâ€™s Slimmest Smartphone in 7600mAh Battery* | Segment&amp;#x27;s Most Stable 144FPS Gaming*"/>
    <x v="0"/>
    <n v="46998"/>
    <n v="53990"/>
    <n v="0.13"/>
    <n v="4.4000000000000004"/>
    <n v="954"/>
    <n v="1"/>
    <b v="0"/>
    <b v="0"/>
    <b v="0"/>
    <b v="0"/>
    <d v="2026-06-05T00:00:00"/>
  </r>
  <r>
    <s v="B0F46SJ5SB"/>
    <s v="Motorola Edge 60 Fusion 5G Smartphone with 6.67&amp;quot; 120Hz pOLED Display, 50MP OIS Camera, Android 14, Dimensity 7030 Processor, 68W Fast Charging (Pantone Amazonite, 8GB + 256GB Storage)"/>
    <x v="0"/>
    <n v="21040"/>
    <m/>
    <m/>
    <n v="4.3"/>
    <n v="1454"/>
    <n v="1"/>
    <b v="0"/>
    <b v="0"/>
    <b v="0"/>
    <b v="0"/>
    <d v="2026-06-05T00:00:00"/>
  </r>
  <r>
    <s v="B0FDB9H9Z7"/>
    <s v="Samsung Galaxy M36 5G Mobile (Serene Green, 8GB RAM, 128GB Storage) | Google Gemini| Gorilla Glass Victus+ | 7.7mm | AI Enhanced 50MP OIS Triple Camera| Nightography| Lag-free Gaming | Without Charger"/>
    <x v="0"/>
    <n v="23999"/>
    <n v="26999"/>
    <n v="0.111"/>
    <n v="4"/>
    <n v="513"/>
    <n v="1"/>
    <b v="0"/>
    <b v="0"/>
    <b v="0"/>
    <b v="0"/>
    <d v="2026-06-05T00:00:00"/>
  </r>
  <r>
    <s v="B0GVFVND7C"/>
    <s v="REDMI A7 4G (Sky Blue, 3 GB RAM, 64GB Storage) | Large 17.48cm (6.88) Smooth 120Hz Display | 5200mAh 2-Day Battery | Royale Design | Charger in the Box"/>
    <x v="0"/>
    <n v="11499"/>
    <n v="14999"/>
    <n v="0.23300000000000001"/>
    <n v="3.2"/>
    <n v="11"/>
    <n v="2"/>
    <b v="0"/>
    <b v="0"/>
    <b v="0"/>
    <b v="0"/>
    <d v="2026-06-05T00:00:00"/>
  </r>
  <r>
    <s v="B0F2HDWBNK"/>
    <s v="iQOO Z10 5G (Glacier Silver, 12GB RAM, 256GB Storage) | India&amp;#x27;s Biggest Ever 7300 mAh Battery | Snapdragon 7s Gen 3 Processor | Brightest Quad Curved AMOLED Display in the Segment"/>
    <x v="0"/>
    <n v="28999"/>
    <n v="29999"/>
    <n v="3.3000000000000002E-2"/>
    <n v="4.4000000000000004"/>
    <n v="5380"/>
    <n v="1"/>
    <b v="0"/>
    <b v="0"/>
    <b v="0"/>
    <b v="0"/>
    <d v="2026-06-05T00:00:00"/>
  </r>
  <r>
    <s v="B0CL7CMTXS"/>
    <s v="Lenovo V15 G4 AMD Athlon Silver 7120U Laptop 8GB LPDDR5 Ram, 512 GB SSD PCIe, Windows 11 Lifetime Validity,15.6&amp;quot; FHD Screen, AMD Radeon 610M, Silver, 1 Year Brand Warranty"/>
    <x v="1"/>
    <n v="42999"/>
    <m/>
    <m/>
    <n v="4"/>
    <n v="349"/>
    <n v="1"/>
    <b v="0"/>
    <b v="0"/>
    <b v="0"/>
    <b v="0"/>
    <d v="2026-06-05T00:00:00"/>
  </r>
  <r>
    <s v="B0BQJ68HHC"/>
    <s v="Dell 15 (Previously Inspiron) Laptop, 14th Gen Intel Core i3/Core 3 100U Processor, 8GB DDR4, 512 SSD, 15.6&amp;quot; FHD 120Hz IPS 250 nit Display, Win 11 + Office H&amp;amp;S 2024, Carbon Black, Thin &amp;amp; Light 1.63Kg"/>
    <x v="1"/>
    <n v="44990"/>
    <n v="48692"/>
    <n v="7.5999999999999998E-2"/>
    <n v="4.0999999999999996"/>
    <n v="1114"/>
    <n v="1"/>
    <b v="0"/>
    <b v="0"/>
    <b v="0"/>
    <b v="0"/>
    <d v="2026-06-05T00:00:00"/>
  </r>
  <r>
    <s v="B0F2TMZJ24"/>
    <s v="Lenovo Chromebook Intel Celeron N4500 (4GB RAM/64GB eMMC 5.1/11.6 Inch (29.46cm)/HD Display/2Wx2 Stereo Speakers/HD Camera/Chrome OS/Blue/1.21Kg), 82UY0014HA"/>
    <x v="1"/>
    <n v="18990"/>
    <n v="36502"/>
    <n v="0.48"/>
    <n v="3.9"/>
    <n v="179"/>
    <n v="1"/>
    <b v="0"/>
    <b v="0"/>
    <b v="0"/>
    <b v="0"/>
    <d v="2026-06-05T00:00:00"/>
  </r>
  <r>
    <s v="B0H1JV266J"/>
    <s v="ð——ð—²ð—¹ð—¹Laptop Model 5420 | ð—œð—¡ð—§ð—˜ð—Ÿi5 11th Gen Processor |8GB DDR4 RAM |256GB SSD |14&amp;quot; FHD Display | Win10 | A+ Condition Laptop (Refab)"/>
    <x v="1"/>
    <n v="35490"/>
    <n v="49999"/>
    <n v="0.28999999999999998"/>
    <n v="5"/>
    <n v="1"/>
    <n v="1"/>
    <b v="0"/>
    <b v="0"/>
    <b v="0"/>
    <b v="0"/>
    <d v="2026-06-05T00:00:00"/>
  </r>
  <r>
    <s v="B0FDWH5WTL"/>
    <s v="Dell 15, Intel Core i3/Core 3 14th Gen-100U, 16GB DDR4, 512GB SSD, FHD IPS, 15.6&amp;quot;/39.62cm, Windows 11, Microsoft Office Home 2024, Carbon Black, 1.63Kg, Thin &amp;amp; Light, Laptop Model NO - Dell 15 DCU5250"/>
    <x v="1"/>
    <n v="47490"/>
    <n v="53074"/>
    <n v="0.105"/>
    <n v="3.7"/>
    <n v="46"/>
    <n v="1"/>
    <b v="0"/>
    <b v="0"/>
    <b v="0"/>
    <b v="0"/>
    <d v="2026-06-05T00:00:00"/>
  </r>
  <r>
    <s v="B0D7PTFFZH"/>
    <s v="Acer Aspire 3 Laptop Intel Core Celeron N4500 Processor Laptop (8 GB LPDDR4X SDRAM/256 GB SSD/Win11 Home/38 WHR/HD Webcam) A325-45 with 39.63 cm (15.6&amp;quot;) HD Display, Pure Silver, 1.5 KG"/>
    <x v="1"/>
    <n v="36990"/>
    <n v="39999"/>
    <n v="7.4999999999999997E-2"/>
    <n v="3.6"/>
    <n v="459"/>
    <n v="1"/>
    <b v="0"/>
    <b v="0"/>
    <b v="0"/>
    <b v="0"/>
    <d v="2026-06-05T00:00:00"/>
  </r>
  <r>
    <s v="B0FC2LKFSC"/>
    <s v="ASUS Vivobook 15, Smartchoice, AMD Ryzen 7 5825U, 16GB RAM, 512GB SSD, FHD 15.6&amp;quot;, Windows 11, Office Home 2024, Quiet Blue, 1.7Kg, M1502YA-BQ703WS, AMD Radeon iGPU, M365 Basic (1Year)*, 42Whr Laptop"/>
    <x v="1"/>
    <n v="54990"/>
    <n v="57990"/>
    <n v="5.1999999999999998E-2"/>
    <n v="4"/>
    <n v="180"/>
    <n v="1"/>
    <b v="0"/>
    <b v="0"/>
    <b v="0"/>
    <b v="0"/>
    <d v="2026-06-05T00:00:00"/>
  </r>
  <r>
    <s v="B0FM3C4L2F"/>
    <s v="ASUS TUF A15 (2025), AMD Ryzen 7 7445HS,RTX 3050-4GB,75W TGP,16GB DDR5(Upgradeable Upto 64GB) 512GB SSD,FHD,15.6&amp;quot;,144Hz,RGB Keyboard,Windows 11,Graphite Black,2.3 Kg FA506NCG-HN199W, Gaming Laptop"/>
    <x v="1"/>
    <n v="68990"/>
    <n v="83990"/>
    <n v="0.17899999999999999"/>
    <n v="4.2"/>
    <n v="872"/>
    <n v="1"/>
    <b v="0"/>
    <b v="0"/>
    <b v="0"/>
    <b v="0"/>
    <d v="2026-06-05T00:00:00"/>
  </r>
  <r>
    <s v="B0GN2Y3T6M"/>
    <s v="ASUS Chromebook CX1405 (2026), Smartchoice,Intel N50 Processor, Intel UHD iGPU, 8GB RAM, 128GB SSD, FHD, 14&amp;quot; (35.5 cm), Chrome OS, Pure Grey, 1.39 Kg, CX1405CTA-S60622, 42WHrs, Thin &amp;amp; Light Laptop"/>
    <x v="1"/>
    <n v="30990"/>
    <m/>
    <m/>
    <n v="2.7"/>
    <n v="10"/>
    <n v="1"/>
    <b v="0"/>
    <b v="0"/>
    <b v="0"/>
    <b v="0"/>
    <d v="2026-06-05T00:00:00"/>
  </r>
  <r>
    <s v="B0FMRSJK1L"/>
    <s v="ASUS Vivobook 15, Smartchoice,Intel Core i3 13th Gen 1315U, 16GB RAM, 512GB SSD, FHD 15.6&amp;quot;, Touchscreen, Win11, Office 24, M365 Basic (1Y), Quiet Blue, 1.7Kg, X1504VA-E83959WS, Intel UHD iGPU, Laptop"/>
    <x v="1"/>
    <n v="54990"/>
    <n v="56990"/>
    <n v="3.5000000000000003E-2"/>
    <n v="4.3"/>
    <n v="213"/>
    <n v="1"/>
    <b v="0"/>
    <b v="0"/>
    <b v="0"/>
    <b v="0"/>
    <d v="2026-06-05T00:00:00"/>
  </r>
  <r>
    <s v="B0GR64G4H6"/>
    <s v="Apple 2026 MacBook Neo 13â€³ Laptop with A18 Pro chip: Built for AI and Apple Intelligence, Liquid Retina Display, 8GB Unified Memory, 256GB SSD Storage, 1080p FaceTime HD Camera; Indigo"/>
    <x v="1"/>
    <n v="65000"/>
    <n v="69900"/>
    <n v="7.0000000000000007E-2"/>
    <n v="4.8"/>
    <n v="120"/>
    <n v="1"/>
    <b v="0"/>
    <b v="0"/>
    <b v="0"/>
    <b v="0"/>
    <d v="2026-06-05T00:00:00"/>
  </r>
  <r>
    <s v="B0GSZRGP46"/>
    <s v="HP 15 (2026), Refrbishd AMD Ryzen 5 Hexa Core 7535U - (8 GB DDR5/512 GB SSD/) Thin and Light Business Laptop/15.6&amp;quot; FHD Display/Turbo Silver/1.5kg"/>
    <x v="1"/>
    <n v="49300"/>
    <n v="80990"/>
    <n v="0.39100000000000001"/>
    <n v="5"/>
    <n v="1"/>
    <n v="1"/>
    <b v="0"/>
    <b v="0"/>
    <b v="0"/>
    <b v="0"/>
    <d v="2026-06-05T00:00:00"/>
  </r>
  <r>
    <s v="B0H1J4KRR9"/>
    <s v="ð——ð—²ð—¹ð—¹Laptop Model 5420 | ð—œð—¡ð—§ð—˜ð—Ÿi5 11th Gen Processor |8GB DDR4 RAM |256GB SSD |14&amp;quot; FHD Display | Win10 | A+ Condition Laptop (Refab)"/>
    <x v="1"/>
    <n v="35590"/>
    <n v="54999"/>
    <n v="0.35299999999999998"/>
    <n v="5"/>
    <n v="1"/>
    <n v="1"/>
    <b v="0"/>
    <b v="0"/>
    <b v="0"/>
    <b v="0"/>
    <d v="2026-06-05T00:00:00"/>
  </r>
  <r>
    <s v="B0F4R5W1NC"/>
    <s v="HP 15, 13th Gen Intel Core i3-1315U Laptop (8GB DDR4,512GB SSD) Anti-Glare, Micro-Edge,15.6&amp;#x27;&amp;#x27;/39.6cm, FHD, Win11,M365 Basic(1yr),Office Home24, Silver,1.59kg, FHD Camera w/Privacy Shutter, fd0569TU"/>
    <x v="1"/>
    <n v="50040"/>
    <n v="50903"/>
    <n v="1.7000000000000001E-2"/>
    <n v="4.2"/>
    <n v="2212"/>
    <n v="1"/>
    <b v="0"/>
    <b v="0"/>
    <b v="0"/>
    <b v="0"/>
    <d v="2026-06-05T00:00:00"/>
  </r>
  <r>
    <s v="B0F29HNJL1"/>
    <s v="Lenovo V15 G4 AMD Ryzen 5 7520U 15.6 inch FHD Laptop, AMD Graphics, 16GB DDR5 5500Mhz Ram, 512GB SSD NVMe, Windows 11, Dolby Audio, Arctic Grey, 1 Year Onsite Brand Warranty"/>
    <x v="1"/>
    <n v="54790"/>
    <n v="99999"/>
    <n v="0.45200000000000001"/>
    <n v="4"/>
    <n v="446"/>
    <n v="1"/>
    <b v="0"/>
    <b v="0"/>
    <b v="0"/>
    <b v="0"/>
    <d v="2026-06-05T00:00:00"/>
  </r>
  <r>
    <s v="B0D2Y1BLDT"/>
    <s v="Dell 15, 13th Gen Intel Core i5-1334U (16GB DDR4, 512GB SSD) Anti-Glare FHD 15.6&amp;quot;/39.62cm, Windows 11, Microsoft Office Home 2024, Grey, 1.66kg, [Vostro 3530], 12 Month McAfee, Thin &amp;amp; Light Laptop"/>
    <x v="1"/>
    <n v="61990"/>
    <n v="73163"/>
    <n v="0.153"/>
    <n v="3.8"/>
    <n v="547"/>
    <n v="1"/>
    <b v="0"/>
    <b v="0"/>
    <b v="0"/>
    <b v="0"/>
    <d v="2026-06-05T00:00:00"/>
  </r>
  <r>
    <s v="B0F8P4Y7VF"/>
    <s v="HP Smartchoice OmniBook 5 OLED (Previously Pavilion), Snapdragon X Processor (16GB LPDDR5x, 512GB SSD) 2K, 14&amp;#x27;&amp;#x27;/35.6cm, Win11, M365(1yr)* Office24, Silver, 1.35kg, he0014QU, Next-Gen AI Laptop"/>
    <x v="1"/>
    <n v="79990"/>
    <n v="83704"/>
    <n v="4.3999999999999997E-2"/>
    <n v="4.2"/>
    <n v="282"/>
    <n v="1"/>
    <b v="0"/>
    <b v="0"/>
    <b v="0"/>
    <b v="0"/>
    <d v="2026-06-05T00:00:00"/>
  </r>
  <r>
    <s v="B0GR1RQ144"/>
    <s v="Apple 2026 MacBook Air 13â€³ Laptop with M5 chip: AI and Apple Intelligence, 34.46 cm (13.6â€³) Liquid Retina Display, 16GB Unified Memory, 512GB SSD Storage, 12MP Center Stage Camera, Touch ID; Sky Blue"/>
    <x v="1"/>
    <n v="110300"/>
    <n v="119900"/>
    <n v="0.08"/>
    <n v="4.9000000000000004"/>
    <n v="25"/>
    <n v="1"/>
    <b v="0"/>
    <b v="0"/>
    <b v="0"/>
    <b v="0"/>
    <d v="2026-06-05T00:00:00"/>
  </r>
  <r>
    <s v="B0GR68779Y"/>
    <s v="Apple 2026 MacBook Neo 13â€³ Laptop with A18 Pro chip: Built for AI and Apple Intelligence, Liquid Retina Display, 8GB Unified Memory, 256GB SSD Storage, 1080p FaceTime HD Camera; Citrus"/>
    <x v="1"/>
    <n v="65000"/>
    <n v="69900"/>
    <n v="7.0000000000000007E-2"/>
    <n v="4.8"/>
    <n v="120"/>
    <n v="1"/>
    <b v="0"/>
    <b v="0"/>
    <b v="0"/>
    <b v="0"/>
    <d v="2026-06-05T00:00:00"/>
  </r>
  <r>
    <s v="B0GR1HPR1W"/>
    <s v="Apple 2026 MacBook Air 13â€³ Laptop with M5 chip: AI and Apple Intelligence, 34.46 cm (13.6â€³) Liquid Retina Display, 16GB Unified Memory, 512GB SSD Storage, 12MP Center Stage Camera, Touch ID; Midnight"/>
    <x v="1"/>
    <n v="110290"/>
    <n v="119900"/>
    <n v="0.08"/>
    <n v="4.5"/>
    <n v="34"/>
    <n v="1"/>
    <b v="0"/>
    <b v="0"/>
    <b v="0"/>
    <b v="0"/>
    <d v="2026-06-05T00:00:00"/>
  </r>
  <r>
    <s v="B0FJYJP1L6"/>
    <s v="HP Victus, AMD Ryzen 7 7445HS, 6GB RTX 4050, 16GB DDR5(Upgradeable) 512GB SSD, 144Hz, IPS, 300nits, FHD, 15.6&amp;#x27;&amp;#x27;/39.6cm, Win11, M365* Office24, Blue, 2.29kg, fb3130AX, Backlit, DTS Audio, Gaming Laptop"/>
    <x v="1"/>
    <n v="90990"/>
    <n v="95746"/>
    <n v="0.05"/>
    <n v="4.2"/>
    <n v="90"/>
    <n v="1"/>
    <b v="0"/>
    <b v="0"/>
    <b v="0"/>
    <b v="0"/>
    <d v="2026-06-05T00:00:00"/>
  </r>
  <r>
    <s v="B0F2162VGQ"/>
    <s v="Lenovo Ideapad Slim 3, 13th Gen Intel Core i7 13620H, 16GB RAM, 512GB SSD, WUXGA IPS, 15.3&amp;quot;/38.8cm, Win 11, Office 2024, Top Metal Cover Grey, 1.6Kg, 83K100CJIN/S1IN, Backlit KB, Laptop"/>
    <x v="1"/>
    <n v="79990"/>
    <n v="89390"/>
    <n v="0.105"/>
    <n v="4.0999999999999996"/>
    <n v="436"/>
    <n v="1"/>
    <b v="0"/>
    <b v="0"/>
    <b v="0"/>
    <b v="0"/>
    <d v="2026-06-05T00:00:00"/>
  </r>
  <r>
    <s v="B0GYHPP3Y1"/>
    <s v="Certified Latitude 7420 Business Laptop â€“ Core i5-1145G7, 16GB RAM, 512GB SSD, 14â€ Full HD, Win 11 Pro"/>
    <x v="1"/>
    <n v="34990"/>
    <n v="79990"/>
    <n v="0.56299999999999994"/>
    <m/>
    <n v="0"/>
    <n v="1"/>
    <b v="0"/>
    <b v="0"/>
    <b v="0"/>
    <b v="0"/>
    <d v="2026-06-05T00:00:00"/>
  </r>
  <r>
    <s v="B09BB766ZL"/>
    <s v="ASUS Zenbook 14 (2026),Smartchoice,Intel Core Ultra 9 285H,32GB RAM,1TB SSD,OLED,Touchscreen,14&amp;quot;(35.5 cm),Win 11,M365 Basic(1Y)* Office 24,Foggy Silver,1.28 Kg,UX3405CA-QL1113WS,Thin &amp;amp; Light Laptop"/>
    <x v="1"/>
    <n v="124990"/>
    <n v="153990"/>
    <n v="0.188"/>
    <m/>
    <n v="0"/>
    <n v="1"/>
    <b v="0"/>
    <b v="0"/>
    <b v="0"/>
    <b v="0"/>
    <d v="2026-06-05T00:00:00"/>
  </r>
  <r>
    <s v="B0GYRJZZ29"/>
    <s v="Acer Smartchoice Aspire One, AMD Ryzen 3-7320U, Office 2024 + M365 Basic, 8GB LPDDR5 RAM/ 256GB SSD, 14.0&amp;quot;/35.56cm TN HD Display, Win 11 Home, Pure Silver, 1.48KG, A114-43, Thin and Light Laptop"/>
    <x v="1"/>
    <n v="41990"/>
    <n v="74999"/>
    <n v="0.44"/>
    <m/>
    <n v="0"/>
    <n v="1"/>
    <b v="0"/>
    <b v="0"/>
    <b v="0"/>
    <b v="0"/>
    <d v="2026-06-05T00:00:00"/>
  </r>
  <r>
    <s v="B0G3B47HZF"/>
    <s v="Lenovo LOQ 13th Gen Intel Core i7-13650HX 15.6&amp;quot; (39.6cm) 144Hz 300Nits FHD Gaming Laptop (16GB/512GB SSD/Win 11/NVIDIA RTX 4050 6GB/1Yr ADP Free/MSO 24/Grey/2.3Kg), 83DV01A5IN"/>
    <x v="1"/>
    <n v="109539"/>
    <n v="131290"/>
    <n v="0.16600000000000001"/>
    <n v="4.7"/>
    <n v="8"/>
    <n v="7"/>
    <b v="0"/>
    <b v="0"/>
    <b v="0"/>
    <b v="0"/>
    <d v="2026-06-05T00:00:00"/>
  </r>
  <r>
    <s v="B0GR67GHSV"/>
    <s v="Apple 2026 MacBook Neo 13&amp;quot; Laptop with A18 Pro chip: Built for AI and Apple Intelligence, Liquid Retina Display, 8GB Unified Memory, 512GB SSD Storage, 1080p FaceTime HD Camera, Touch ID; Blush"/>
    <x v="1"/>
    <n v="77900"/>
    <n v="79900"/>
    <n v="2.5000000000000001E-2"/>
    <n v="4.8"/>
    <n v="120"/>
    <n v="1"/>
    <b v="0"/>
    <b v="0"/>
    <b v="0"/>
    <b v="0"/>
    <d v="2026-06-05T00:00:00"/>
  </r>
  <r>
    <s v="B0F4R3GFMQ"/>
    <s v="HP 15 Smartchoice, 13th Gen Intel Core i3-1315U (12GB DDR4, 512GB SSD) FHD, Anti-Glare, Micro-Edge, 15.6&amp;#x27;&amp;#x27;/39.6cm, Win11, M365(1yr)*Office24, Silver, 1.59kg, fd0573TU, FHD Camera w/Shutter Laptop"/>
    <x v="1"/>
    <n v="52690"/>
    <n v="52720.160000000003"/>
    <n v="1E-3"/>
    <n v="4.2"/>
    <n v="551"/>
    <n v="1"/>
    <b v="0"/>
    <b v="0"/>
    <b v="0"/>
    <b v="0"/>
    <d v="2026-06-05T00:00:00"/>
  </r>
  <r>
    <s v="B0GY7VGHDQ"/>
    <s v="HP Professional 15 (2026), Intel (i3 14th Gen) Core 3 100U - (8 GB/512 GB SSD/Intel UHD Graphics/Windows 11 Pro) Thin &amp;amp; Light Business Laptop/15.6&amp;quot; Display/Turbo Silver/Copilot Key/1.5kg/MS Office"/>
    <x v="1"/>
    <n v="48902"/>
    <n v="89990"/>
    <n v="0.45700000000000002"/>
    <m/>
    <n v="0"/>
    <n v="1"/>
    <b v="0"/>
    <b v="0"/>
    <b v="0"/>
    <b v="0"/>
    <d v="2026-06-05T00:00:00"/>
  </r>
  <r>
    <s v="B0872G2MPV"/>
    <s v="Lenovo V15 G4 AMD Athlon Silver 7120U Laptop 8GB LPDDR5 Ram, 512 GB SSD PCIe, Windows 11/MS Office,15.6&amp;quot; FHD Screen, AMD Radeon 610M, Silver, 1 Year Brand Warranty"/>
    <x v="1"/>
    <n v="43999"/>
    <n v="99000"/>
    <n v="0.55600000000000005"/>
    <n v="3.9"/>
    <n v="41"/>
    <n v="1"/>
    <b v="0"/>
    <b v="0"/>
    <b v="0"/>
    <b v="0"/>
    <d v="2026-06-05T00:00:00"/>
  </r>
  <r>
    <s v="B0GY8KNSFC"/>
    <s v="HP Omnibook 3, Snapdragon X Processor, 45 TOPS (16GB LPDDR5x, 512GB SSD) 2K, WUXGA, IPS, 14&amp;#x27;&amp;#x27;/35.6cm, Win 11, Office 24, Silver, 1.4kg, hz0026QU, FHD IR Camera, 42% Lighter mini GaN Charger, AI Laptop"/>
    <x v="1"/>
    <n v="73990"/>
    <n v="108510"/>
    <n v="0.318"/>
    <n v="3"/>
    <n v="2"/>
    <n v="1"/>
    <b v="0"/>
    <b v="0"/>
    <b v="0"/>
    <b v="0"/>
    <d v="2026-06-05T00:00:00"/>
  </r>
  <r>
    <s v="B0CWTYGPH8"/>
    <s v="acer Aspire Lite, AMD Ryzen 3 5300U Processor, 16 GB RAM, 512GB SSD, Full HD, 15.6&amp;quot;/39.62cm, Windows 11 Home, Steel Gray, 1.59KG, AL15-41, Metal Body, Premium Thin and Light Laptop"/>
    <x v="1"/>
    <n v="49790"/>
    <n v="49990"/>
    <n v="4.0000000000000001E-3"/>
    <n v="4"/>
    <n v="358"/>
    <n v="1"/>
    <b v="0"/>
    <b v="0"/>
    <b v="0"/>
    <b v="0"/>
    <d v="2026-06-05T00:00:00"/>
  </r>
  <r>
    <s v="B0GFP4WSMB"/>
    <s v="HP Professional 14 (2026) â€“ Intel Core 5 120U (14th Gen), 16GB RAM, 512GB SSD, Windows 11 Pro, MSO 2024, Copilot Key, Fingerprint Reader, Intel Iris Xe Graphics, 14â€³ FHD Display, 1.53Kg â€“ Turbo Silver"/>
    <x v="1"/>
    <n v="61700"/>
    <n v="85000"/>
    <n v="0.27400000000000002"/>
    <n v="5"/>
    <n v="1"/>
    <n v="1"/>
    <b v="0"/>
    <b v="0"/>
    <b v="0"/>
    <b v="0"/>
    <d v="2026-06-05T00:00:00"/>
  </r>
  <r>
    <s v="B0GVT7T169"/>
    <s v="ASUS Vivobook 15, Thin &amp;amp; Light Laptop,(i5 14th Gen) Intel Core 5 120U (16GB/512GB SSD/Intel Graphics/ 15.6&amp;quot; FHD/Windows 11 H/Office 2024+M365 Basic(1-Year)/Backlit KB/Terra Cotta), X1504VAP-BQ1543WS"/>
    <x v="1"/>
    <n v="58990"/>
    <n v="73990"/>
    <n v="0.20300000000000001"/>
    <m/>
    <n v="0"/>
    <n v="1"/>
    <b v="0"/>
    <b v="0"/>
    <b v="0"/>
    <b v="0"/>
    <d v="2026-06-05T00:00:00"/>
  </r>
  <r>
    <s v="B0FK59XW2C"/>
    <s v="Lenovo Yoga Slim 7 Intel Core Ultra 7 155H 14&amp;quot;(35.5cm) WUXGA-OLED 400Nits Laptop (32GB RAM/1TB SSD/AI PC/2Wx4 Speakers/Windows 11/Office Home 2024/1Yr ADP Free/Grey/1.39Kg), 83CV00D3IN"/>
    <x v="1"/>
    <n v="129990"/>
    <n v="139990"/>
    <n v="7.0999999999999994E-2"/>
    <n v="4.8"/>
    <n v="10"/>
    <n v="1"/>
    <b v="0"/>
    <b v="0"/>
    <b v="0"/>
    <b v="0"/>
    <d v="2026-06-05T00:00:00"/>
  </r>
  <r>
    <s v="B0F5B1N9SJ"/>
    <s v="HP 15, Intel Core Ultra 5 125H (16GB DDR5, 1TB SSD) FHD, IPS, 15.6&amp;#x27;&amp;#x27;/39.6cm, Win11, M365 Basic(1yr)*Office24, Silver, 1.65kg, fd1354TU, Intel Arc Graphics, FHD Camera w/Shutter, AI Powered Laptop"/>
    <x v="1"/>
    <n v="74990"/>
    <n v="86451"/>
    <n v="0.13300000000000001"/>
    <n v="3.8"/>
    <n v="366"/>
    <n v="1"/>
    <b v="0"/>
    <b v="0"/>
    <b v="0"/>
    <b v="0"/>
    <d v="2026-06-05T00:00:00"/>
  </r>
  <r>
    <s v="B0FVX5P8LB"/>
    <s v="acer Aspire 14, 13th Gen, Intel Core i7-13620H Processors, 16 GB RAM, 512 GB SSD, Full HD IPS, 14&amp;quot;/35.56 cm, Windows 11 Home, MSO, Pure Silver, 1.44 kg, AS14H-53, Backlit KB, Thin and Light Laptop"/>
    <x v="1"/>
    <n v="65990"/>
    <n v="84990"/>
    <n v="0.224"/>
    <n v="3.7"/>
    <n v="2"/>
    <n v="1"/>
    <b v="0"/>
    <b v="0"/>
    <b v="0"/>
    <b v="0"/>
    <d v="2026-06-05T00:00:00"/>
  </r>
  <r>
    <s v="B0GHSN1N24"/>
    <s v="HP Professional 15 (2026), Intel (i3 14th Gen) Core 3 100U - (16 GB/512 GB SSD/Intel UHD Graphics/Windows 11 Home) Thin &amp;amp; Light Business Laptop/15.6&amp;quot; Display/Turbo Silver/Copilot Key/1.5kg/MS Office"/>
    <x v="1"/>
    <n v="52300"/>
    <n v="75000"/>
    <n v="0.30299999999999999"/>
    <m/>
    <n v="0"/>
    <n v="1"/>
    <b v="0"/>
    <b v="0"/>
    <b v="0"/>
    <b v="0"/>
    <d v="2026-06-05T00:00:00"/>
  </r>
  <r>
    <s v="B0H1W663BW"/>
    <s v="ð—›ð—£ð—£ð—¿ð—¼ð—¯ð—¼ð—¼ð—¸Model 430 G3 Business Laptop | InteI i5 6th Gen | 8GB RAM | 256GB SSD | WiFi | Webcam | Win10 Pro | Pre Owned &amp;amp; Professionally Tested | Excellent Condition"/>
    <x v="1"/>
    <n v="22800"/>
    <n v="44999"/>
    <n v="0.49299999999999999"/>
    <m/>
    <n v="0"/>
    <n v="1"/>
    <b v="0"/>
    <b v="0"/>
    <b v="0"/>
    <b v="0"/>
    <d v="2026-06-05T00:00:00"/>
  </r>
  <r>
    <s v="B0F9X5DSBS"/>
    <s v="ASUS TUF F16, 14th Gen,Intel Core i7 14650HX,RTX 5060-8GB,16GB,1TB,FHD+,16&amp;quot;,165Hz,90WHrs,Windows 11,M365 Basic (1Year)*,Office 2024,Jaeger Gray,2.2 Kg, FX608JMR-RV049WS, Gaming Laptop"/>
    <x v="1"/>
    <n v="149990"/>
    <n v="173990"/>
    <n v="0.13800000000000001"/>
    <n v="4.4000000000000004"/>
    <n v="96"/>
    <n v="1"/>
    <b v="0"/>
    <b v="0"/>
    <b v="0"/>
    <b v="0"/>
    <d v="2026-06-05T00:00:00"/>
  </r>
  <r>
    <s v="B0F8QB4SBH"/>
    <s v="Lenovo IdeaPad Slim 3 13th Gen Intel Core i3-1315U 15.6 inch (39.6cm) FHD Laptop (8GB RAM/512GB SSD/Windows 11/Office 2024/Backlit Keyboard/1Yr ADP Free/3 Month Game Pass/Grey/1.6Kg), 82X700FXIN"/>
    <x v="1"/>
    <n v="49650"/>
    <n v="85000"/>
    <n v="0.41599999999999998"/>
    <n v="3.1"/>
    <n v="2"/>
    <n v="1"/>
    <b v="0"/>
    <b v="0"/>
    <b v="0"/>
    <b v="0"/>
    <d v="2026-06-05T00:00:00"/>
  </r>
  <r>
    <s v="B0GNK6BHB2"/>
    <s v="Dell Inspiron 5440 Notebook Computer, Intel Core 3 100U 14th Gen Processor, 8GB DDR5 RAM, 512GB SSD, 14&amp;quot; FHD+ Screen, Ubuntu, 1Yr Warranty, Ice Blue"/>
    <x v="1"/>
    <n v="43660"/>
    <n v="55000"/>
    <n v="0.20599999999999999"/>
    <n v="4.3"/>
    <n v="4"/>
    <n v="1"/>
    <b v="0"/>
    <b v="0"/>
    <b v="0"/>
    <b v="0"/>
    <d v="2026-06-05T00:00:00"/>
  </r>
  <r>
    <s v="B0CRKX3JRT"/>
    <s v="Dell G Series, 13th Gen Intel Core i5-13450HX, NVIDIA RTX 3050-6GB, 16GB DDR5, 512GB SSD, FHD, 15.6&amp;quot;/39.62cm, Windows 11, Microsoft Office Home 2024, 2.65KG, G15-5530, Backlit Keyboard, Gaming Laptop"/>
    <x v="1"/>
    <n v="76990"/>
    <n v="103436"/>
    <n v="0.25600000000000001"/>
    <n v="4"/>
    <n v="1506"/>
    <n v="1"/>
    <b v="0"/>
    <b v="0"/>
    <b v="0"/>
    <b v="0"/>
    <d v="2026-06-05T00:00:00"/>
  </r>
  <r>
    <s v="B0GLXWY8ZX"/>
    <s v="acer Aspire 3, Intel Pentium N6000, 12GB LPDDR4X RAM, 512GB SSD, HD, 15.6&amp;quot;/39.62cm, Windows 11 Home, Pure Silver, 1.5KG, A325-45, Thin and Light Laptop"/>
    <x v="1"/>
    <n v="39990"/>
    <n v="49990"/>
    <n v="0.2"/>
    <n v="2.7"/>
    <n v="11"/>
    <n v="1"/>
    <b v="0"/>
    <b v="0"/>
    <b v="0"/>
    <b v="0"/>
    <d v="2026-06-05T00:00:00"/>
  </r>
  <r>
    <s v="B0C3D8BZVQ"/>
    <s v="HP 15 Laptop, AMD Ryzen 5 7520U (16GB DDR5,512GB SSD) Win11,M365 Basic(1yr)*Office Home24, Anti-Glare,15.6&amp;#x27;&amp;#x27;/39.6cm,FHD,Backlit KB,FHD Camera w/Privacy Shutter,Radeon Graphics, Silver,1.59kg FC0690AU"/>
    <x v="1"/>
    <n v="55490"/>
    <n v="55691"/>
    <n v="4.0000000000000001E-3"/>
    <n v="4.2"/>
    <n v="71"/>
    <n v="1"/>
    <b v="0"/>
    <b v="0"/>
    <b v="0"/>
    <b v="0"/>
    <d v="2026-06-05T00:00:00"/>
  </r>
  <r>
    <s v="B0G3PMNXLJ"/>
    <s v="HP 15, 13th Gen Intel Core i3-1315U (8GB DDR4, 512GB SSD), FHD, Micro -Edge, Anti-Glare, 15.6&amp;#x27;&amp;#x27;/39.6cm, Win11, M365* Office24, Silver, 1.59kg, fd0624tu, FHD Camera, UHD Graphics Laptop"/>
    <x v="1"/>
    <n v="48990"/>
    <n v="49631"/>
    <n v="1.2999999999999999E-2"/>
    <m/>
    <n v="0"/>
    <n v="1"/>
    <b v="0"/>
    <b v="0"/>
    <b v="0"/>
    <b v="0"/>
    <d v="2026-06-05T00:00:00"/>
  </r>
  <r>
    <s v="B0FHY9XRGT"/>
    <s v="Alienware 16 Area-51 Gaming Laptop, AI Enabled Core Ultra 9 275HX Proc, 32GB DDR5, 1TB SSD, RTX 5070Ti 12GB GDDR7 Graphics, 16.0&amp;quot; WQXGA 240Hz 500 nits Display, Liquid Teal Color, Win 11 + MSO&amp;#x27;24,3.4kg"/>
    <x v="1"/>
    <n v="343990"/>
    <n v="407392"/>
    <n v="0.156"/>
    <m/>
    <n v="0"/>
    <n v="1"/>
    <b v="0"/>
    <b v="0"/>
    <b v="0"/>
    <b v="0"/>
    <d v="2026-06-05T00:00:00"/>
  </r>
  <r>
    <s v="B0FFTLRYRV"/>
    <s v="HP 15, Intel Core 5 120U (14th Gen) 16GB DDR4, 512GB SSD, FHD, Anti-Glare, Micro-Edge, 15.6&amp;#x27;&amp;#x27;/39.6cm, Win11, M365 Basic(1yr), Office24, Silver,1.59kg, FD0640TU/682tu, FHD Camera w/Shutter, BL Laptop"/>
    <x v="1"/>
    <n v="67990"/>
    <n v="69629"/>
    <n v="2.4E-2"/>
    <n v="3.9"/>
    <n v="9"/>
    <n v="1"/>
    <b v="0"/>
    <b v="0"/>
    <b v="0"/>
    <b v="0"/>
    <d v="2026-06-05T00:00:00"/>
  </r>
  <r>
    <s v="B0GXDP9V8C"/>
    <s v="Wireless Bluetooth Headphones with Deep Bass Sound, Foldable Design, Comfortable Cushioned Earpads, Built-in Mic for Music &amp;amp; Calls, Average Battery(1-3 Hours) Backup, Stylish Everyday Use"/>
    <x v="2"/>
    <n v="299"/>
    <n v="999"/>
    <n v="0.70099999999999996"/>
    <n v="2.7"/>
    <n v="9"/>
    <n v="1"/>
    <b v="0"/>
    <b v="0"/>
    <b v="0"/>
    <b v="0"/>
    <d v="2026-06-05T00:00:00"/>
  </r>
  <r>
    <s v="B0F5PX1JVY"/>
    <s v="Sony WH-CH520 Wireless Bluetooth Headphones On Ear with Mic, Up to 50Hrs Battery-Pink"/>
    <x v="2"/>
    <n v="4490"/>
    <n v="5990"/>
    <n v="0.25"/>
    <n v="4.2"/>
    <n v="29505"/>
    <n v="1"/>
    <b v="0"/>
    <b v="0"/>
    <b v="0"/>
    <b v="0"/>
    <d v="2026-06-05T00:00:00"/>
  </r>
  <r>
    <s v="B0FQJQDPF7"/>
    <s v="pTron Studio w/ 60Hrs Playtime, Wireless Over-Ear Headphones with HD Mic, Dual-Device Pairing, Immersive Sound, 40mm Drivers, BT5.4, 3.5mm Aux Port, TF Card Slot &amp;amp; Type-C Fast Charging (Beige)"/>
    <x v="2"/>
    <n v="649"/>
    <n v="2599"/>
    <n v="0.75"/>
    <n v="3.8"/>
    <n v="459"/>
    <n v="1"/>
    <b v="0"/>
    <b v="0"/>
    <b v="0"/>
    <b v="0"/>
    <d v="2026-06-05T00:00:00"/>
  </r>
  <r>
    <s v="B00KGZZ824"/>
    <s v="Sony MDR-ZX110A On Ear Stereo Wired Headphones (White), Without Mic"/>
    <x v="2"/>
    <n v="559"/>
    <n v="1390"/>
    <n v="0.59799999999999998"/>
    <n v="4"/>
    <n v="67452"/>
    <n v="1"/>
    <b v="0"/>
    <b v="0"/>
    <b v="1"/>
    <b v="0"/>
    <d v="2026-06-05T00:00:00"/>
  </r>
  <r>
    <s v="B09B5BS6G4"/>
    <s v="ZEBRONICS Thunder (2026 Upgrade) Wireless Headphones, BT v6.0, True 60 hrs Playback, 40mm Drivers, ENC, Gaming Mode, Dual Pairing, AUX &amp;amp; microSD, Rapid Charging, Call Function (Teal Green)"/>
    <x v="2"/>
    <n v="749"/>
    <n v="1699"/>
    <n v="0.55900000000000005"/>
    <n v="3.8"/>
    <n v="81867"/>
    <n v="1"/>
    <b v="0"/>
    <b v="0"/>
    <b v="0"/>
    <b v="0"/>
    <d v="2026-06-05T00:00:00"/>
  </r>
  <r>
    <s v="B0DGTTKCJX"/>
    <s v="boAt Rockerz 480, RGB LEDs,6 Light Modes, 40mm Drivers,Beast Mode, 60H Battery, ENx Tech, Stream Ad Free Music via App Support, Bluetooth Headphones, Wireless Over Ear Headphone with Mic (White Sabre)"/>
    <x v="2"/>
    <n v="1599"/>
    <n v="3790"/>
    <n v="0.57799999999999996"/>
    <n v="4.0999999999999996"/>
    <n v="3939"/>
    <n v="1"/>
    <b v="0"/>
    <b v="0"/>
    <b v="0"/>
    <b v="0"/>
    <d v="2026-06-05T00:00:00"/>
  </r>
  <r>
    <s v="B0CWVX1GNX"/>
    <s v="Sony ULT Wear WH-ULT900N Noise Cancellation Wireless Bluetooth Over Ear Headphones with Massive Bass, Up to 50Hrs Battery-Black"/>
    <x v="2"/>
    <n v="16990"/>
    <n v="24990"/>
    <n v="0.32"/>
    <n v="4.3"/>
    <n v="3467"/>
    <n v="1"/>
    <b v="0"/>
    <b v="0"/>
    <b v="0"/>
    <b v="0"/>
    <d v="2026-06-05T00:00:00"/>
  </r>
  <r>
    <s v="B0F7LY85KB"/>
    <s v="Boat Rockerz 421, 60H Battery, Low Latency(40Ms), 40Mm Drivers, ENx Tech, Stream Ad Free Music via App Support, Bluetooth Headphones, Wireless Over Ear Headphone with Mic (Bold Blue)"/>
    <x v="2"/>
    <n v="1099"/>
    <n v="2490"/>
    <n v="0.55900000000000005"/>
    <n v="3.9"/>
    <n v="2079"/>
    <n v="1"/>
    <b v="0"/>
    <b v="0"/>
    <b v="0"/>
    <b v="0"/>
    <d v="2026-06-05T00:00:00"/>
  </r>
  <r>
    <s v="B09R24HMNW"/>
    <s v="ZEBRONICS Bro 3.5Mm Wired in Ear Earphones, in-Line Mic, Deep Bass, 1.2M Strong and Long Lasting Cable, Light Weight, Compatible with Mobile | Tablet | Laptop (Blue)"/>
    <x v="2"/>
    <n v="139"/>
    <n v="399"/>
    <n v="0.65200000000000002"/>
    <n v="3.5"/>
    <n v="69921"/>
    <n v="1"/>
    <b v="0"/>
    <b v="0"/>
    <b v="0"/>
    <b v="0"/>
    <d v="2026-06-05T00:00:00"/>
  </r>
  <r>
    <s v="B0BXXPG6FP"/>
    <s v="Sony WH-CH720N Active Noise Cancellation Wireless Bluetooth Over Ear Headphones with Mic, Adaptive Sound Control, Quick Charge, Up to 35Hrs Battery, Customized EQ- Blue : Model : YY2966"/>
    <x v="2"/>
    <n v="9431"/>
    <n v="14990"/>
    <n v="0.371"/>
    <n v="4.3"/>
    <n v="15735"/>
    <n v="1"/>
    <b v="0"/>
    <b v="0"/>
    <b v="0"/>
    <b v="0"/>
    <d v="2026-06-05T00:00:00"/>
  </r>
  <r>
    <s v="B0GXDPKM5J"/>
    <s v="Wireless Bluetooth Headphones with Deep Bass Sound, Foldable Design, Comfortable Cushioned Earpads, Built-in Mic for Music &amp;amp; Calls, Average Battery(1-3 Hours) Backup, Stylish Everyday Use"/>
    <x v="2"/>
    <n v="299"/>
    <n v="999"/>
    <n v="0.70099999999999996"/>
    <n v="2.7"/>
    <n v="9"/>
    <n v="1"/>
    <b v="0"/>
    <b v="0"/>
    <b v="0"/>
    <b v="0"/>
    <d v="2026-06-05T00:00:00"/>
  </r>
  <r>
    <s v="B0FC2Y8XYF"/>
    <s v="Boat Rockerz 411, 40Ms Low Latency, 40Hrs Battery, 40Mm Drivers, ENx Tech, Stream Ad Free Music via App Support, Bluetooth Headphones, Wireless Over Ear Headphone with Mic (Active Black)"/>
    <x v="2"/>
    <n v="1199"/>
    <n v="2999"/>
    <n v="0.6"/>
    <n v="4.2"/>
    <n v="28473"/>
    <n v="1"/>
    <b v="0"/>
    <b v="0"/>
    <b v="0"/>
    <b v="0"/>
    <d v="2026-06-05T00:00:00"/>
  </r>
  <r>
    <s v="B0FGTZ19JS"/>
    <s v="pTron Studio Evo 70hrs Playtime Wireless Over Ear Headphones w/HD Mic, Dual Device Pairing, Low-Latency Game/Movie/Music Modes, Punchy Bass, BT5.3, Voice Assistant &amp;amp; Type-C Fast Charging (Beige)"/>
    <x v="2"/>
    <n v="797"/>
    <n v="3199"/>
    <n v="0.751"/>
    <n v="4.0999999999999996"/>
    <n v="1916"/>
    <n v="1"/>
    <b v="0"/>
    <b v="0"/>
    <b v="0"/>
    <b v="0"/>
    <d v="2026-06-05T00:00:00"/>
  </r>
  <r>
    <s v="B09CYX92NB"/>
    <s v="JBL Tune 770NC Wireless Over Ear ANC Headphones with Mic, Upto 70 Hrs Battery, Speed Charge : 5 min Charge Gives up to 3H of Playback, Customized EQ, Google Fast Pair, Dual Pairing, BT 5.3 (Black)"/>
    <x v="2"/>
    <n v="4999"/>
    <n v="9999"/>
    <n v="0.5"/>
    <n v="4.0999999999999996"/>
    <n v="11390"/>
    <n v="1"/>
    <b v="0"/>
    <b v="0"/>
    <b v="0"/>
    <b v="0"/>
    <d v="2026-06-05T00:00:00"/>
  </r>
  <r>
    <s v="B0FG2QT7H2"/>
    <s v="Boat Rockerz 512 ANC,(~40dB) Hybrid ANC, 80H Battery, 40mm Drivers, 40ms Low Latency, ENx Tech,Stream Ad Free Music via App Support, Bluetooth Headphones, Wireless Headphone with Mic (Cosmic Black)"/>
    <x v="2"/>
    <n v="2699"/>
    <n v="7990"/>
    <n v="0.66200000000000003"/>
    <n v="4.2"/>
    <n v="31059"/>
    <n v="1"/>
    <b v="0"/>
    <b v="0"/>
    <b v="0"/>
    <b v="0"/>
    <d v="2026-06-05T00:00:00"/>
  </r>
  <r>
    <s v="B0B4G44RFS"/>
    <s v="ZEBRONICS Storm Wired On Ear Headphone with 3.5mm Jack, Built-in Microphone for Calling,1.5 Meter Cable, Soft Ear Cushion, Adjustable Headband,Foldable Ear Cups (Black)"/>
    <x v="2"/>
    <n v="449"/>
    <n v="799"/>
    <n v="0.438"/>
    <n v="3.7"/>
    <n v="4662"/>
    <n v="1"/>
    <b v="0"/>
    <b v="0"/>
    <b v="0"/>
    <b v="0"/>
    <d v="2026-06-05T00:00:00"/>
  </r>
  <r>
    <s v="B0CY1PL36Q"/>
    <s v="Noise Airwave Max 4 Wireless Over Ear Headphones with 70H Playtime, ENC, 40mm Driver, Low Latency(up to 40ms), Dual Pairing, BT v5.4 (Calm Beige)"/>
    <x v="2"/>
    <n v="2499"/>
    <n v="5999"/>
    <n v="0.58299999999999996"/>
    <n v="3.8"/>
    <n v="4353"/>
    <n v="1"/>
    <b v="0"/>
    <b v="0"/>
    <b v="0"/>
    <b v="0"/>
    <d v="2026-06-05T00:00:00"/>
  </r>
  <r>
    <s v="B0B1PX62WJ"/>
    <s v="Noise Two Wireless On Ear Headphones with 50 Hours Playtime, Low Latency(up to 45ms), 4 Play Modes, Dual Pairing, BT v5.3 (Bold Black)"/>
    <x v="2"/>
    <n v="1499"/>
    <n v="4999"/>
    <n v="0.7"/>
    <n v="3.7"/>
    <n v="4693"/>
    <n v="1"/>
    <b v="0"/>
    <b v="0"/>
    <b v="0"/>
    <b v="0"/>
    <d v="2026-06-05T00:00:00"/>
  </r>
  <r>
    <s v="B0DV5GLTLZ"/>
    <s v="Boat Rockerz 650 Pro, Touch/Swipe Controls, Dolby Audio, 80Hrs Battery, 2Mics ENx, Fast Charge, App Support, Dual Pair, Bluetooth Over Ear Headphones with Mic (Sage Green)"/>
    <x v="2"/>
    <n v="2699"/>
    <n v="8990"/>
    <n v="0.7"/>
    <n v="4.2"/>
    <n v="3871"/>
    <n v="1"/>
    <b v="0"/>
    <b v="0"/>
    <b v="0"/>
    <b v="0"/>
    <d v="2026-06-05T00:00:00"/>
  </r>
  <r>
    <s v="B00Y4ORQ46"/>
    <s v="Logitech H111 Wired On Ear Headphones With Mic Black"/>
    <x v="2"/>
    <n v="745"/>
    <n v="955"/>
    <n v="0.22"/>
    <n v="3.9"/>
    <n v="20495"/>
    <n v="1"/>
    <b v="0"/>
    <b v="0"/>
    <b v="0"/>
    <b v="0"/>
    <d v="2026-06-05T00:00:00"/>
  </r>
  <r>
    <s v="B071Z8M4KX"/>
    <s v="Boat BassHeads 100 in-Ear Headphones with Mic (Black)"/>
    <x v="2"/>
    <n v="349"/>
    <n v="999"/>
    <n v="0.65100000000000002"/>
    <n v="4.0999999999999996"/>
    <n v="435089"/>
    <n v="1"/>
    <b v="0"/>
    <b v="0"/>
    <b v="0"/>
    <b v="0"/>
    <d v="2026-06-05T00:00:00"/>
  </r>
  <r>
    <s v="B0FHHKP966"/>
    <s v="Boat Bassheads 211 Wired Earphones with 10mm Drivers, Signature Sound, in-Line Microphone, 3.5mm Jack, Voice Assistant &amp;amp; 120cm Cables (Raging Black)"/>
    <x v="2"/>
    <n v="299"/>
    <n v="599"/>
    <n v="0.501"/>
    <n v="4"/>
    <n v="118740"/>
    <n v="1"/>
    <b v="0"/>
    <b v="0"/>
    <b v="0"/>
    <b v="0"/>
    <d v="2026-06-05T00:00:00"/>
  </r>
  <r>
    <s v="B0FHHM74H8"/>
    <s v="Boat Rockerz Plus 550, Customizable Earcups, 100H Battery, 50mm Drivers, Dual Pair, Stream Ad Free Music via App Support, Bluetooth Headphones, Wireless Headphone with Mic (Black Psyche)"/>
    <x v="2"/>
    <n v="1899"/>
    <n v="4990"/>
    <n v="0.61899999999999999"/>
    <n v="4.0999999999999996"/>
    <n v="66390"/>
    <n v="1"/>
    <b v="0"/>
    <b v="0"/>
    <b v="0"/>
    <b v="0"/>
    <d v="2026-06-05T00:00:00"/>
  </r>
  <r>
    <s v="B08KHT2HDT"/>
    <s v="Marshall Major IV Wireless Bluetooth On Ear Headphone with Mic (Black)"/>
    <x v="2"/>
    <n v="9999"/>
    <n v="14999"/>
    <n v="0.33300000000000002"/>
    <n v="4.3"/>
    <n v="16791"/>
    <n v="1"/>
    <b v="0"/>
    <b v="0"/>
    <b v="0"/>
    <b v="0"/>
    <d v="2026-06-05T00:00:00"/>
  </r>
  <r>
    <s v="B074ZF7PVZ"/>
    <s v="boAt Bassheads 900 On Ear Wired Headphone With Mic"/>
    <x v="2"/>
    <n v="899"/>
    <n v="2490"/>
    <n v="0.63900000000000001"/>
    <n v="4.2"/>
    <n v="78437"/>
    <n v="1"/>
    <b v="0"/>
    <b v="0"/>
    <b v="0"/>
    <b v="0"/>
    <d v="2026-06-05T00:00:00"/>
  </r>
  <r>
    <s v="B0DT9T945X"/>
    <s v="GOBOULT X Mustang Q Over Ear Bluetooth Headphones 70H Playtime, 40mm Bass Drivers, Zen ENC Mic, Type-C Fast Charging, 4 EQ Mode, Bluetooth 5.4, AUX Option, IPX5 Wireless Headphones"/>
    <x v="2"/>
    <n v="2499"/>
    <n v="6999"/>
    <n v="0.64300000000000002"/>
    <n v="4"/>
    <n v="1215"/>
    <n v="1"/>
    <b v="0"/>
    <b v="0"/>
    <b v="0"/>
    <b v="0"/>
    <d v="2026-06-05T00:00:00"/>
  </r>
  <r>
    <s v="B0GXL3373V"/>
    <s v="GOBOULT Fluid X 60Hrs Playtime, 40mm Boosted Drivers, Foldable Design, ENC Mic, 5.4v Bluetooth &amp;amp; Wired Headset (Electric Black, On the Ear)"/>
    <x v="2"/>
    <n v="1999"/>
    <n v="5999"/>
    <n v="0.66700000000000004"/>
    <n v="4.0999999999999996"/>
    <n v="101"/>
    <n v="1"/>
    <b v="0"/>
    <b v="0"/>
    <b v="0"/>
    <b v="0"/>
    <d v="2026-06-05T00:00:00"/>
  </r>
  <r>
    <s v="B01DF26V7A"/>
    <s v="JBL C100SI Wired In Ear Headphones with Mic, JBL Pure Bass Sound, One Button Multi-function Remote, Premium Metallic Finish, Angled Buds for Comfort fit (Red)"/>
    <x v="2"/>
    <n v="649"/>
    <n v="1299"/>
    <n v="0.5"/>
    <n v="4.0999999999999996"/>
    <n v="205880"/>
    <n v="1"/>
    <b v="0"/>
    <b v="0"/>
    <b v="0"/>
    <b v="0"/>
    <d v="2026-06-05T00:00:00"/>
  </r>
  <r>
    <s v="B08WBJHVYV"/>
    <s v="Razer BlackShark V2 X Smartchoice Wired Gaming Headset with Mic, 7.1 Surround Sound, 50mm Drivers, Memory Foam Cushions, Multi-Platform (PC/PS/Xbox/Switch/Mobile), 3.5mm Jack_Black"/>
    <x v="2"/>
    <n v="3999"/>
    <n v="7999"/>
    <n v="0.5"/>
    <n v="4.4000000000000004"/>
    <n v="4443"/>
    <n v="1"/>
    <b v="0"/>
    <b v="0"/>
    <b v="0"/>
    <b v="0"/>
    <d v="2026-06-05T00:00:00"/>
  </r>
  <r>
    <s v="B00SAYCXWG"/>
    <s v="HyperX Cloud II â€“ Wired Gaming Headset for PC, PS5 / PS4. Active Noise Cancellation, Over Ear, circumaural, Closed Back, HyperX Virtual 7.1 Surround Sound - Black-Red (4P5M0AA)"/>
    <x v="2"/>
    <n v="5499"/>
    <n v="12987"/>
    <n v="0.57699999999999996"/>
    <n v="4.3"/>
    <n v="97953"/>
    <n v="1"/>
    <b v="0"/>
    <b v="0"/>
    <b v="0"/>
    <b v="0"/>
    <d v="2026-06-05T00:00:00"/>
  </r>
  <r>
    <s v="B0GXDT4CHF"/>
    <s v="Wireless Bluetooth Headphones with Deep Bass Sound, Foldable Design, Comfortable Cushioned Earpads, Built-in Mic for Music &amp;amp; Calls, Average Battery(1-3 Hours) Backup, Stylish Everyday Use"/>
    <x v="2"/>
    <n v="299"/>
    <n v="999"/>
    <n v="0.70099999999999996"/>
    <n v="2.7"/>
    <n v="9"/>
    <n v="1"/>
    <b v="0"/>
    <b v="0"/>
    <b v="0"/>
    <b v="0"/>
    <d v="2026-06-05T00:00:00"/>
  </r>
  <r>
    <s v="B0DGX1VCWX"/>
    <s v="Spigen Audio Newly Launched SA-HP P10 Wireless Over Ear Headphones with 60H Playtime, Upto 43dB Multi-Mode Adaptive ANC Pro, EQ Customizing App, 5-MIC, Gaming Mode, 40mm Driver - Black"/>
    <x v="2"/>
    <n v="2499"/>
    <n v="5899"/>
    <n v="0.57599999999999996"/>
    <n v="4.3"/>
    <n v="124"/>
    <n v="1"/>
    <b v="0"/>
    <b v="0"/>
    <b v="0"/>
    <b v="0"/>
    <d v="2026-06-05T00:00:00"/>
  </r>
  <r>
    <s v="B0FRSD3CF5"/>
    <s v="boAt Rockerz Trendz, 40mm Drivers, 50hrs Battery, 60ms Low Latency, ENx Tech, BT v5.4, Foldable Cups, Voice Assistant, Bluetooth Headphones, Wireless Headphone with Mic - Bold Blue"/>
    <x v="2"/>
    <n v="998"/>
    <n v="2999"/>
    <n v="0.66700000000000004"/>
    <n v="4"/>
    <n v="116"/>
    <n v="2"/>
    <b v="0"/>
    <b v="0"/>
    <b v="0"/>
    <b v="0"/>
    <d v="2026-06-05T00:00:00"/>
  </r>
  <r>
    <s v="B0D7QKT1N2"/>
    <s v="M.G.R.JÂ® Portable Carrying Case Cover for Boat Rockerz 450 Bluetooth On Ear Headphones (Hard|EVA|Black)"/>
    <x v="2"/>
    <n v="299"/>
    <n v="999"/>
    <n v="0.70099999999999996"/>
    <n v="4.2"/>
    <n v="564"/>
    <n v="1"/>
    <b v="0"/>
    <b v="0"/>
    <b v="0"/>
    <b v="0"/>
    <d v="2026-06-05T00:00:00"/>
  </r>
  <r>
    <s v="B0G59967NX"/>
    <s v="Portronics Muffs M6 Over Ear Wireless Bluetooth Headphone with Upto 40 Hours Playtime, Dual Pairing, 40mm Driver, HD Mic, Bluetooth 5.4V, Foldable Design, Type C Fast Charging (Black)"/>
    <x v="2"/>
    <n v="1149"/>
    <n v="2499"/>
    <n v="0.54"/>
    <n v="4.3"/>
    <n v="389"/>
    <n v="1"/>
    <b v="0"/>
    <b v="0"/>
    <b v="0"/>
    <b v="0"/>
    <d v="2026-06-05T00:00:00"/>
  </r>
  <r>
    <s v="B000AJIF4E"/>
    <s v="Sony MDR-7506 Professional Wired On Ear Headphones (Best Compatible with Professional Cinema Line Camera) - Black"/>
    <x v="2"/>
    <n v="7846"/>
    <n v="9990"/>
    <n v="0.215"/>
    <n v="4.5999999999999996"/>
    <n v="27075"/>
    <n v="1"/>
    <b v="0"/>
    <b v="0"/>
    <b v="0"/>
    <b v="0"/>
    <d v="2026-06-05T00:00:00"/>
  </r>
  <r>
    <s v="B0FS1Z5X5Z"/>
    <s v="Noise Airwave Max 6 Wireless Bluetooth Headphones (2026 Launch), Hi-Res LDAC Audio, Adaptive ANC 45dB, 120H Battery, Low Latency 80ms, Deep Bass, Over-Ear Noise Cancelling Headphones (Forest Green)"/>
    <x v="2"/>
    <n v="6499"/>
    <n v="6999"/>
    <n v="7.0999999999999994E-2"/>
    <m/>
    <n v="0"/>
    <n v="1"/>
    <b v="0"/>
    <b v="0"/>
    <b v="0"/>
    <b v="0"/>
    <d v="2026-06-05T00:00:00"/>
  </r>
  <r>
    <s v="B009LJ2BXA"/>
    <s v="HP Wired On Ear Headphones with Mic with 3.5 Mm Drivers, in-Built Noise Cancelling, Foldable and Adjustable for Laptop/Pc/Office/Home/ 1 Year Warranty (B4B09PA)"/>
    <x v="2"/>
    <n v="665"/>
    <n v="889"/>
    <n v="0.252"/>
    <n v="3.5"/>
    <n v="10539"/>
    <n v="1"/>
    <b v="0"/>
    <b v="0"/>
    <b v="0"/>
    <b v="0"/>
    <d v="2026-06-05T00:00:00"/>
  </r>
  <r>
    <s v="B00K0AMYFO"/>
    <s v="Sony ZX Series MDR-ZX310AP Wired Headband Stereo On Ear Headset -Blue"/>
    <x v="2"/>
    <n v="1099"/>
    <n v="2190"/>
    <n v="0.498"/>
    <n v="4.0999999999999996"/>
    <n v="1801"/>
    <n v="1"/>
    <b v="0"/>
    <b v="0"/>
    <b v="0"/>
    <b v="0"/>
    <d v="2026-06-05T00:00:00"/>
  </r>
  <r>
    <s v="B0GS8X6VX6"/>
    <s v="Zebronics Wireless Headphones, Hybrid ANC 48dB, Upto 100Hrs Playback, 40mm Drivers, Dual Mic ENC, BT v6.0, Gaming Mode, Dual Pairing, Touch Controls, App Support, AUX (Silencio 200T, Blue)"/>
    <x v="2"/>
    <n v="2999"/>
    <n v="9999"/>
    <n v="0.7"/>
    <n v="4.0999999999999996"/>
    <n v="41"/>
    <n v="1"/>
    <b v="0"/>
    <b v="0"/>
    <b v="0"/>
    <b v="0"/>
    <d v="2026-06-05T00:00:00"/>
  </r>
  <r>
    <s v="B0DGJLL7V1"/>
    <s v="Apple AirPods 4 Wireless Earbuds, Bluetooth Headphones, Personalised Spatial Audio, Sweat and Water Resistant, USB-C Charging Case, H2 Chip, Up to 30 Hours of Battery Life, Effortless Setup for iPhone"/>
    <x v="2"/>
    <n v="11700"/>
    <n v="12900"/>
    <n v="9.2999999999999999E-2"/>
    <n v="4.2"/>
    <n v="1135"/>
    <n v="1"/>
    <b v="0"/>
    <b v="0"/>
    <b v="0"/>
    <b v="0"/>
    <d v="2026-06-05T00:00:00"/>
  </r>
  <r>
    <s v="B0CHMMVHQL"/>
    <s v="JBL Live 770NC True Adaptive Noise Cancellation Headphones Wireless Over Ear, Spatial Sound, 65Hrs Playtime, Speed Charge, Multipoint Connect &amp;amp; Personi-Fi 2.0, Customized EQ, Google Fast Pair, Blue"/>
    <x v="2"/>
    <n v="8999"/>
    <n v="14999"/>
    <n v="0.4"/>
    <n v="4.0999999999999996"/>
    <n v="693"/>
    <n v="1"/>
    <b v="0"/>
    <b v="0"/>
    <b v="0"/>
    <b v="0"/>
    <d v="2026-06-05T00:00:00"/>
  </r>
  <r>
    <s v="B0D573NP19"/>
    <s v="ZEBRONICS Duke Plus (2026 Upgrade) Wireless Headphones, BT v5.4, Upto 70hrs Playback, 40mm Drivers, Gaming Mode, ENC, Dual Pairing, Rapid Charge, AUX, 3 EQ Modes (Black)"/>
    <x v="2"/>
    <n v="1399"/>
    <n v="7999"/>
    <n v="0.82499999999999996"/>
    <n v="3.8"/>
    <n v="16702"/>
    <n v="1"/>
    <b v="0"/>
    <b v="0"/>
    <b v="0"/>
    <b v="0"/>
    <d v="2026-06-05T00:00:00"/>
  </r>
  <r>
    <s v="B0F29P775Z"/>
    <s v="Sounce Portable Carrying Case Cover for Boult Newly Launched Q Over-Ear Bluetooth Headphones | Hard EVA Travel Storage Case with Shockproof, Waterproof, andPremium Protective Cover â€“ Black"/>
    <x v="2"/>
    <n v="249"/>
    <n v="499"/>
    <n v="0.501"/>
    <n v="4.2"/>
    <n v="1297"/>
    <n v="1"/>
    <b v="0"/>
    <b v="0"/>
    <b v="0"/>
    <b v="0"/>
    <d v="2026-06-05T00:00:00"/>
  </r>
  <r>
    <s v="B0FBRGKXHG"/>
    <s v="OnePlus Bullets Wireless Z3 in-Ear Neckband with 12.4mm Drivers, 3D Spatial Audio,10 mins Charge for 27 hrs Playback, 4 EQ preset, Dynamic bass Enhancement &amp;amp; BT5.4"/>
    <x v="2"/>
    <n v="1699"/>
    <n v="1999"/>
    <n v="0.15"/>
    <n v="4.2"/>
    <n v="231223"/>
    <n v="1"/>
    <b v="0"/>
    <b v="0"/>
    <b v="0"/>
    <b v="0"/>
    <d v="2026-06-05T00:00:00"/>
  </r>
  <r>
    <s v="B0FZC523RD"/>
    <s v="pTron Tangent Rush w/ 50Hrs Playtime, Pristine Sound, Dual-Device Pairing, Bluetooth 5.4 Wireless in-Ear Earphones with Mic, Voice Assistant, Type-C Fast Charging &amp;amp; IPX5 Water Resistant (Ink Blue)"/>
    <x v="2"/>
    <n v="497"/>
    <n v="1799"/>
    <n v="0.72399999999999998"/>
    <n v="3.6"/>
    <n v="1196"/>
    <n v="1"/>
    <b v="0"/>
    <b v="0"/>
    <b v="0"/>
    <b v="0"/>
    <d v="2026-06-05T00:00:00"/>
  </r>
  <r>
    <s v="B0BZHT8T7T"/>
    <s v="Boat Rockerz 551ANC, 100HRS Battery, Hybrid ANC(~35Db), Fast Charge, Ambient Sound Mode &amp;amp; Dual EQ Modes, Enx Tech, Bluetooth Headphones, Over Ear Wireless Headphone with Mic (Sage Green)"/>
    <x v="2"/>
    <n v="2799"/>
    <n v="7990"/>
    <n v="0.65"/>
    <n v="3.5"/>
    <n v="2518"/>
    <n v="1"/>
    <b v="0"/>
    <b v="0"/>
    <b v="0"/>
    <b v="0"/>
    <d v="2026-06-05T00:00:00"/>
  </r>
  <r>
    <s v="B0F9PJJLCT"/>
    <s v="Noise Newly Launched Airwave Max XR Wireless Over-Ear Headphones with 120H Playtime, ANC, HFA Tech, Spatial Audio, Dual Pairing,BT V6.0(Pearl Beige)"/>
    <x v="2"/>
    <n v="2999"/>
    <n v="4999"/>
    <n v="0.4"/>
    <m/>
    <n v="0"/>
    <n v="1"/>
    <b v="0"/>
    <b v="0"/>
    <b v="0"/>
    <b v="0"/>
    <d v="2026-06-05T00:00:00"/>
  </r>
  <r>
    <s v="B0BSGXWTGP"/>
    <s v="Bouncefit D20 Y68 Fitness Band Smart Watch for Men, Women, Boys, Girls, Kids â€“ Single Touch Interface, Water Resistant, Workout Modes, Quick Charge Sports Smartwatch â€“ Jet Black"/>
    <x v="3"/>
    <n v="396"/>
    <n v="2999"/>
    <n v="0.86799999999999999"/>
    <n v="3.4"/>
    <n v="4138"/>
    <n v="1"/>
    <b v="0"/>
    <b v="0"/>
    <b v="0"/>
    <b v="0"/>
    <d v="2026-06-05T00:00:00"/>
  </r>
  <r>
    <s v="B0D9629NJQ"/>
    <s v="Fastrack Limitless Glide X 1.83&amp;quot; Smart Watch with Ultra UV HD Display, SpO2, Heart Rate &amp;amp; Sleep Tracking, Bluetooth Calling, 100+ Sports Modes, 5-Day Battery, Smartwatch for Men &amp;amp; Women (Black)"/>
    <x v="3"/>
    <n v="1299"/>
    <n v="2799"/>
    <n v="0.53600000000000003"/>
    <n v="4"/>
    <n v="4014"/>
    <n v="1"/>
    <b v="0"/>
    <b v="0"/>
    <b v="1"/>
    <b v="0"/>
    <d v="2026-06-05T00:00:00"/>
  </r>
  <r>
    <s v="B0D45BT2S2"/>
    <s v="Bouncefit M I D116 Fitness Band Smart Watch for Men, Women, Boys, Girls, Kids â€“ Single Touch Interface, Water Resistant, Workout Modes, Quick Charge Sports Smartwatch â€“ Black I"/>
    <x v="3"/>
    <n v="396"/>
    <n v="2999"/>
    <n v="0.86799999999999999"/>
    <n v="3.6"/>
    <n v="539"/>
    <n v="1"/>
    <b v="0"/>
    <b v="0"/>
    <b v="0"/>
    <b v="0"/>
    <d v="2026-06-05T00:00:00"/>
  </r>
  <r>
    <s v="B0DY7YPBJL"/>
    <s v="Fire-Boltt Phoenix Pro Round Smart Watch 1.39â€³ HD Display with Bluetooth Calling, AI Voice Assistant, SpO2 &amp;amp; Heart Rate Monitor, 120+ Sports Modes, IP67 Waterproof Smartwatch for Men &amp;amp; Women - Brown"/>
    <x v="3"/>
    <n v="1099"/>
    <n v="11999"/>
    <n v="0.90800000000000003"/>
    <n v="3.7"/>
    <n v="6827"/>
    <n v="1"/>
    <b v="0"/>
    <b v="0"/>
    <b v="0"/>
    <b v="0"/>
    <d v="2026-06-05T00:00:00"/>
  </r>
  <r>
    <s v="B0G61HJYR3"/>
    <s v="Fire-Boltt Ninja X Ring Smart Watch with 1.96â€ Large Display, Bluetooth Calling, Wireless Charging, AI Voice Assistant, 500+ Watch Faces, Health Suite, Smart Watch for Man &amp;amp; Woman â€“ Blue S"/>
    <x v="3"/>
    <n v="1099"/>
    <n v="9999"/>
    <n v="0.89"/>
    <n v="4.0999999999999996"/>
    <n v="18663"/>
    <n v="1"/>
    <b v="0"/>
    <b v="0"/>
    <b v="0"/>
    <b v="0"/>
    <d v="2026-06-05T00:00:00"/>
  </r>
  <r>
    <s v="B0CQ4KTCH1"/>
    <s v="Noise Twist Go Round dial Smartwatch with BT Calling, 1.39&amp;quot; Display, Metal Build, 100+ Watch Faces, IP68, Sleep Tracking, 100+ Sports Modes, 24/7 Heart Rate Monitoring (Jet Black)"/>
    <x v="3"/>
    <n v="1599"/>
    <n v="4999"/>
    <n v="0.68"/>
    <n v="4"/>
    <n v="54869"/>
    <n v="1"/>
    <b v="0"/>
    <b v="0"/>
    <b v="0"/>
    <b v="0"/>
    <d v="2026-06-05T00:00:00"/>
  </r>
  <r>
    <s v="B0FLF38P8G"/>
    <s v="Boat Wave Call 3 Smartwatch 1.83â€ HD Display with Animated Watch Faces; BT Calling, Functional Crown, Multiple Sports Modes, IP68, HR, SpO2 Monitor, Smart Watches for Men &amp;amp; Women (Spring Blossom)"/>
    <x v="3"/>
    <n v="1399"/>
    <n v="6999"/>
    <n v="0.8"/>
    <n v="4.0999999999999996"/>
    <n v="25992"/>
    <n v="1"/>
    <b v="0"/>
    <b v="0"/>
    <b v="0"/>
    <b v="0"/>
    <d v="2026-06-05T00:00:00"/>
  </r>
  <r>
    <s v="B0B854R7NS"/>
    <s v="Fire-Boltt Ninja Call Pro Bluetooth Calling Smart Watch, 1.69â€³ HD Display,Dual Chip,AI Voice Assistant, 120+ Sports Modes, SpO2 &amp;amp; Heart Rate Monitor, Fitness Tracker Smartwatch for Men &amp;amp; Women - Black"/>
    <x v="3"/>
    <n v="1399"/>
    <n v="17999"/>
    <n v="0.92200000000000004"/>
    <n v="3.9"/>
    <n v="131228"/>
    <n v="1"/>
    <b v="0"/>
    <b v="0"/>
    <b v="0"/>
    <b v="0"/>
    <d v="2026-06-05T00:00:00"/>
  </r>
  <r>
    <s v="B0D963J6GN"/>
    <s v="Fastrack Limitless Glide X 1.83&amp;quot; Smart Watch with Ultra UV HD Display, SpO2, Heart Rate &amp;amp; Sleep Tracking, Bluetooth Calling, 100+ Sports Modes, 5-Day Battery, Smartwatch for Men &amp;amp; Women (Blue)"/>
    <x v="3"/>
    <n v="1299"/>
    <n v="2799"/>
    <n v="0.53600000000000003"/>
    <n v="4"/>
    <n v="419"/>
    <n v="1"/>
    <b v="0"/>
    <b v="0"/>
    <b v="0"/>
    <b v="0"/>
    <d v="2026-06-05T00:00:00"/>
  </r>
  <r>
    <s v="B0B6BPTFT5"/>
    <s v="Noise Pulse 2 Max 1.85&amp;quot; Display, Bluetooth Calling Smart Watch, 10 Days Battery, 550 NITS Brightness, Smart DND, 100 Sports Modes, Smartwatch for Men and Women (Deep Wine)"/>
    <x v="3"/>
    <n v="1499"/>
    <n v="5999"/>
    <n v="0.75"/>
    <n v="4"/>
    <n v="25468"/>
    <n v="1"/>
    <b v="0"/>
    <b v="0"/>
    <b v="0"/>
    <b v="0"/>
    <d v="2026-06-05T00:00:00"/>
  </r>
  <r>
    <s v="B0F2Z2TRK9"/>
    <s v="Fire-Boltt Talk Round Smart Watch 1.39â€³ TFT Display with Bluetooth Calling, Dual Button, Voice Assistance, SPOâ‚‚ &amp;amp; Heart Rate Monitor, 120+ Sports Modes, Smartwatch for Men &amp;amp; Women - Green"/>
    <x v="3"/>
    <n v="1299"/>
    <n v="11999"/>
    <n v="0.89200000000000002"/>
    <n v="4"/>
    <n v="61557"/>
    <n v="1"/>
    <b v="0"/>
    <b v="0"/>
    <b v="0"/>
    <b v="0"/>
    <d v="2026-06-05T00:00:00"/>
  </r>
  <r>
    <s v="B0DFYL4635"/>
    <s v="Boat Lunar Discovery w/ 1.39&amp;quot; (3.5 cm) HD Display, Turn-by-Turn Navigation, DIY Watch Face Studio, Bluetooth Calling, Emergency SOS, QR Tray, Smart Watch for Men &amp;amp; Women(Active Black)"/>
    <x v="3"/>
    <n v="1199"/>
    <n v="8499"/>
    <n v="0.85899999999999999"/>
    <n v="3.8"/>
    <n v="5716"/>
    <n v="1"/>
    <b v="0"/>
    <b v="0"/>
    <b v="0"/>
    <b v="0"/>
    <d v="2026-06-05T00:00:00"/>
  </r>
  <r>
    <s v="B0DS14JKB1"/>
    <s v="MARVIK Smart Watch for Kids, Men, Boys, Girls, and Women, D20 Plus 2025, Latest for Android and iOS Phones, IP68 Waterproof with Daily Activity Tracker, Heart Rate Sensor, Sleep Monitor Watch - Black"/>
    <x v="3"/>
    <n v="399"/>
    <n v="999"/>
    <n v="0.60099999999999998"/>
    <n v="3"/>
    <n v="1641"/>
    <n v="1"/>
    <b v="0"/>
    <b v="0"/>
    <b v="0"/>
    <b v="0"/>
    <d v="2026-06-05T00:00:00"/>
  </r>
  <r>
    <s v="B0GX7VDRDQ"/>
    <s v="T800 Ultra Smart Watch, Orange Ocean Band, 1.99 Inch Display, Wireless Charging"/>
    <x v="3"/>
    <n v="449"/>
    <n v="999"/>
    <n v="0.55100000000000005"/>
    <n v="5"/>
    <n v="2"/>
    <n v="1"/>
    <b v="0"/>
    <b v="0"/>
    <b v="0"/>
    <b v="0"/>
    <d v="2026-06-05T00:00:00"/>
  </r>
  <r>
    <s v="B0FDQK5KSZ"/>
    <s v="Samsung Galaxy Watch8 (44mm, LTE, Graphite) with 3nm Processor | Dual GPS | Sapphire Glass &amp;amp; Armor Aluminum | 5ATM &amp;amp; IP68 | BP, ECG, IHRN &amp;amp; Vascular Load Monitoring | Anti-oxidant Index"/>
    <x v="3"/>
    <n v="25499"/>
    <n v="45999"/>
    <n v="0.44600000000000001"/>
    <n v="4.2"/>
    <n v="232"/>
    <n v="1"/>
    <b v="0"/>
    <b v="0"/>
    <b v="0"/>
    <b v="0"/>
    <d v="2026-06-05T00:00:00"/>
  </r>
  <r>
    <s v="B0CMF25TKG"/>
    <s v="Fireâ€‘Boltt Rise Smart Watch 1.85â€³ HD Display with Bluetooth Calling, AI Voice Assistant, Rotating Crown,SpO2 &amp;amp; Heart Rate Monitor, 120+ Sports Modes,IP67 Waterproof Smart Watch for Men &amp;amp; Women - Black"/>
    <x v="3"/>
    <n v="1199"/>
    <n v="11999"/>
    <n v="0.9"/>
    <n v="4"/>
    <n v="41250"/>
    <n v="1"/>
    <b v="0"/>
    <b v="0"/>
    <b v="0"/>
    <b v="0"/>
    <d v="2026-06-05T00:00:00"/>
  </r>
  <r>
    <s v="B0CVQDZWVX"/>
    <s v="OnePlus Watch 2 with Wear OS 4,Snapdragon W5 Chipset,Upto 100hrs battery life,1.43â€™â€™ AMOLED Display, Stainless Steel &amp;amp; Sapphire Crystal build,Dual Frequency GPS, 5 ATM, IP68 &amp;amp; BT Calling (Black Steel)"/>
    <x v="3"/>
    <n v="14199"/>
    <n v="27999"/>
    <n v="0.49299999999999999"/>
    <n v="4.4000000000000004"/>
    <n v="776"/>
    <n v="1"/>
    <b v="0"/>
    <b v="0"/>
    <b v="0"/>
    <b v="0"/>
    <d v="2026-06-05T00:00:00"/>
  </r>
  <r>
    <s v="B0FSLT35WH"/>
    <s v="Redmi Move Smartwatch | 1.85&amp;quot; AMOLED (390Ã—450, 600 nits) | Bluetooth Calling | 140+ Sports | 24Ã—7 HR &amp;amp; SPOâ‚‚ | AOD | Up to 14-Day Battery | HyperOS (Blue Blaze Strap)"/>
    <x v="3"/>
    <n v="2499"/>
    <n v="3999"/>
    <n v="0.375"/>
    <n v="4.0999999999999996"/>
    <n v="157"/>
    <n v="1"/>
    <b v="0"/>
    <b v="0"/>
    <b v="0"/>
    <b v="0"/>
    <d v="2026-06-05T00:00:00"/>
  </r>
  <r>
    <s v="B0DH2SRQ3L"/>
    <s v="Redmi Watch 5 Lite, 1.96&amp;quot; Amoled, Advanced in-Built GPS, 5 ATM, 18 Day Battery, Bluetooth Calling with AI Noise Reduction, Always on Display, Light Gold"/>
    <x v="3"/>
    <n v="3999"/>
    <n v="6999"/>
    <n v="0.42899999999999999"/>
    <n v="4.0999999999999996"/>
    <n v="1712"/>
    <n v="1"/>
    <b v="0"/>
    <b v="0"/>
    <b v="0"/>
    <b v="0"/>
    <d v="2026-06-05T00:00:00"/>
  </r>
  <r>
    <s v="B0DGGVHMDS"/>
    <s v="Fastrack Astor FR2 Pro 1.43&amp;quot; AMOLED Stainless Steel Smart Watch with SpO2, Heart Rate, BT Calling, Adaptive AOD, Functional Crown, AI Voice Assistant â€“ Smartwatch for Stylish Professionals (Black)"/>
    <x v="3"/>
    <n v="2799"/>
    <n v="5499"/>
    <n v="0.49099999999999999"/>
    <n v="4.3"/>
    <n v="1386"/>
    <n v="1"/>
    <b v="0"/>
    <b v="0"/>
    <b v="0"/>
    <b v="0"/>
    <d v="2026-06-05T00:00:00"/>
  </r>
  <r>
    <s v="B0D95TMQ3M"/>
    <s v="Bouncefit M I D116 Fitness Band Smart Watch for Men, Women, Boys, Girls, Kids â€“ Single Touch Interface, Water Resistant, Workout Modes,Quick Charge Sports Smartwatch â€“ Black I"/>
    <x v="3"/>
    <n v="396"/>
    <n v="2999"/>
    <n v="0.86799999999999999"/>
    <n v="3.5"/>
    <n v="1059"/>
    <n v="1"/>
    <b v="0"/>
    <b v="0"/>
    <b v="0"/>
    <b v="0"/>
    <d v="2026-06-05T00:00:00"/>
  </r>
  <r>
    <s v="B0G64PBQYB"/>
    <s v="CrossBeats Armour Pro AI Premium Smart Watch for man | Latest 1.43â€ AMOLED Always on Display | 5 ATM Waterproof | 30-Day Battery |GPS BT Calling Smartwatch |150+ Sports Modes| BP HR SPO2 (Black)"/>
    <x v="3"/>
    <n v="5999"/>
    <n v="9999"/>
    <n v="0.4"/>
    <n v="4.4000000000000004"/>
    <n v="382"/>
    <n v="1"/>
    <b v="0"/>
    <b v="0"/>
    <b v="0"/>
    <b v="0"/>
    <d v="2026-06-05T00:00:00"/>
  </r>
  <r>
    <s v="B0G1T2GZP9"/>
    <s v="Boat Lunar Discovery Neo, 1.39&amp;quot; (3.5 cm) Round HD Display, Premium Metallic Finish, Animated Watchfaces, 100+ Sports Mode, Bluetooth Calling, Smart Watch for Men &amp;amp; Women (Active Black)"/>
    <x v="3"/>
    <n v="1399"/>
    <n v="6999"/>
    <n v="0.8"/>
    <n v="4"/>
    <n v="21378"/>
    <n v="1"/>
    <b v="0"/>
    <b v="0"/>
    <b v="0"/>
    <b v="0"/>
    <d v="2026-06-05T00:00:00"/>
  </r>
  <r>
    <s v="B0CQRQK8L8"/>
    <s v="Noise ColorFit Pulse 3 with 1.96&amp;quot; Biggest Display Bluetooth Calling Smart Watch, Premium Build, Auto Sport Detection &amp;amp; 170+ Watch Faces Smartwatch for Men &amp;amp; Women - Midnight Black"/>
    <x v="3"/>
    <n v="1199"/>
    <n v="6999"/>
    <n v="0.82899999999999996"/>
    <n v="4"/>
    <n v="5456"/>
    <n v="1"/>
    <b v="0"/>
    <b v="0"/>
    <b v="0"/>
    <b v="0"/>
    <d v="2026-06-05T00:00:00"/>
  </r>
  <r>
    <s v="B0GRVG7C8D"/>
    <s v="T800 Ultra Smart Watch with Touch Display â€“ Bluetooth Calling Smartwatch | Health &amp;amp; Fitness Tracker with Sports Modes | Compatible with Android &amp;amp; iOS | Black Strap"/>
    <x v="3"/>
    <m/>
    <m/>
    <m/>
    <n v="3.8"/>
    <n v="7"/>
    <n v="1"/>
    <b v="0"/>
    <b v="0"/>
    <b v="0"/>
    <b v="0"/>
    <d v="2026-06-05T00:00:00"/>
  </r>
  <r>
    <s v="B0F993RN8H"/>
    <s v="Fire-Boltt Legacy Luxury Round Smart Watch 1.43â€³ Super AMOLED,Bluetooth Calling,Wireless Charging,Voice Assistant,SpOâ‚‚ &amp;amp; Heart Rate Monitor,110+ Sports Modes, Metal Smart Watch for Men &amp;amp; Women - Black"/>
    <x v="3"/>
    <n v="2099"/>
    <n v="21000"/>
    <n v="0.9"/>
    <n v="3.9"/>
    <n v="2395"/>
    <n v="1"/>
    <b v="0"/>
    <b v="0"/>
    <b v="0"/>
    <b v="0"/>
    <d v="2026-06-05T00:00:00"/>
  </r>
  <r>
    <s v="B0D1VKS2L9"/>
    <s v="Fastrack New Limitless X2 Smart Watch, 1.91&amp;quot; UltraVU with Rotating Crown, 60 Hz Refresh Rate, Advanced Chipset, SingleSync BT Calling, 100+ Sports Mode &amp;amp; Smartwatch Faces, IP68, (Black)"/>
    <x v="3"/>
    <n v="1599"/>
    <n v="2995"/>
    <n v="0.46600000000000003"/>
    <n v="4"/>
    <n v="2493"/>
    <n v="1"/>
    <b v="0"/>
    <b v="0"/>
    <b v="0"/>
    <b v="0"/>
    <d v="2026-06-05T00:00:00"/>
  </r>
  <r>
    <s v="B0D5LRGSCR"/>
    <s v="Boat Storm Call 3 w/TBT Navigation, Daily Activity Tracker, DIY Watch Face Studio,700+ Active Modes, 1.83&amp;quot; (4.6 cm) HD Display Fitness Smart Watch for Men &amp;amp; Women(Active Black)"/>
    <x v="3"/>
    <n v="1099"/>
    <n v="8449"/>
    <n v="0.87"/>
    <n v="4.0999999999999996"/>
    <n v="34928"/>
    <n v="1"/>
    <b v="0"/>
    <b v="0"/>
    <b v="0"/>
    <b v="0"/>
    <d v="2026-06-05T00:00:00"/>
  </r>
  <r>
    <s v="B0FP2H4K27"/>
    <s v="Fire-Boltt Axiom Round Smart Watch 1.43â€³ Super AMOLED Display with Alwaysâ€‘On Mode, Bluetooth Calling, Rotating Crown, SPOâ‚‚ &amp;amp; Heart Rate Monitor, IP67 Waterproof Silicone Smartwatch for Men - White"/>
    <x v="3"/>
    <n v="1899"/>
    <n v="18999"/>
    <n v="0.9"/>
    <n v="3.8"/>
    <n v="6885"/>
    <n v="1"/>
    <b v="0"/>
    <b v="0"/>
    <b v="0"/>
    <b v="0"/>
    <d v="2026-06-05T00:00:00"/>
  </r>
  <r>
    <s v="B0BRKXXPZ7"/>
    <s v="Fire-Boltt Phoenix Pro Round Smart Watch 1.39â€³ HD Display with Bluetooth Calling, AI Voice Assistant, SpO2 &amp;amp; Heart Rate Monitor, 120+ Sports Modes, IP67 Waterproof Smartwatch for Men &amp;amp; Women - Black"/>
    <x v="3"/>
    <n v="1499"/>
    <n v="11999"/>
    <n v="0.875"/>
    <n v="3.9"/>
    <n v="105437"/>
    <n v="1"/>
    <b v="0"/>
    <b v="0"/>
    <b v="0"/>
    <b v="0"/>
    <d v="2026-06-05T00:00:00"/>
  </r>
  <r>
    <s v="B0DSWCCSXD"/>
    <s v="GameSir H18 Pro Smartwatch with Long Battery Life, 2.01&amp;quot; High-Resolution Screen, Bluetooth Calling, IP68 Waterproof, TFT Display, Luxury Design for Men &amp;amp; Women (Grey)"/>
    <x v="3"/>
    <n v="939"/>
    <n v="4999"/>
    <n v="0.81200000000000006"/>
    <n v="4"/>
    <n v="146"/>
    <n v="1"/>
    <b v="0"/>
    <b v="0"/>
    <b v="0"/>
    <b v="0"/>
    <d v="2026-06-05T00:00:00"/>
  </r>
  <r>
    <s v="B0DNW6WRDZ"/>
    <s v="MARVIK Smart Watch for Kids, Men, Boys, Girls, and Women, ID116 Plus 2025, Latest for Android and iOS Phones, IP68 Waterproof with Daily Activity Tracker, Heart Rate Sensor, Sleep Monitor - Black"/>
    <x v="3"/>
    <n v="399"/>
    <n v="999"/>
    <n v="0.60099999999999998"/>
    <n v="3.2"/>
    <n v="335"/>
    <n v="1"/>
    <b v="0"/>
    <b v="0"/>
    <b v="0"/>
    <b v="0"/>
    <d v="2026-06-05T00:00:00"/>
  </r>
  <r>
    <s v="B0DDL8SLXN"/>
    <s v="Huawei Watch GT 5 46mm Smartwatch, Up to 14 Days Battery Life, iOS &amp;amp; Android Compatible,Built in Maps, Pro-Level Sports Call&amp;amp;Message Reply,(Black, 46mm)"/>
    <x v="3"/>
    <n v="14999"/>
    <n v="24999"/>
    <n v="0.4"/>
    <n v="4.5"/>
    <n v="1171"/>
    <n v="1"/>
    <b v="0"/>
    <b v="0"/>
    <b v="0"/>
    <b v="0"/>
    <d v="2026-06-05T00:00:00"/>
  </r>
  <r>
    <s v="B0DDQCDQQG"/>
    <s v="Fastrack Jupitor R2 Smart Watch, 1.38â€ TFT Display, 240 * 240 Pixel Resolution, SingleSync BT Calling, AI Voice Assistant, 100+ Sports Modes &amp;amp; Smartwatch Faces,Upto 5 Day Battery, IP68 (Black)"/>
    <x v="3"/>
    <n v="1699"/>
    <n v="3999"/>
    <n v="0.57499999999999996"/>
    <n v="4.0999999999999996"/>
    <n v="210"/>
    <n v="1"/>
    <b v="0"/>
    <b v="0"/>
    <b v="0"/>
    <b v="0"/>
    <d v="2026-06-05T00:00:00"/>
  </r>
  <r>
    <s v="B0DKBZYXZY"/>
    <s v="Fire-Boltt Ninja Call Pro Max Ultra Bluetooth Calling Smart Watch, 2.01â€HD Display, AI Outfit Watch Face, 2 Looks in 1 Watch, Extra Straps at â‚¹99, 120+ Sports Modes, Smartwatch for Men &amp;amp; Women (Black)"/>
    <x v="3"/>
    <n v="1099"/>
    <n v="16999"/>
    <n v="0.93500000000000005"/>
    <n v="3.4"/>
    <n v="924"/>
    <n v="1"/>
    <b v="0"/>
    <b v="0"/>
    <b v="0"/>
    <b v="0"/>
    <d v="2026-06-05T00:00:00"/>
  </r>
  <r>
    <s v="B0BY5BRLRB"/>
    <s v="Garmin Forerunner 965 GPS Triathlon Smartwatch,Amoled Touchscreen, Battery Upto 23 Days, HRV Status, Advanced Sleep Score, Track Running, Cross Training, Vo2 Max, ClimbPro, Load Ratio with Black Band"/>
    <x v="3"/>
    <n v="39990"/>
    <n v="70990"/>
    <n v="0.437"/>
    <n v="4.0999999999999996"/>
    <n v="69"/>
    <n v="1"/>
    <b v="0"/>
    <b v="0"/>
    <b v="0"/>
    <b v="0"/>
    <d v="2026-06-05T00:00:00"/>
  </r>
  <r>
    <s v="B0GLQKTKF6"/>
    <s v="GOBOULT Newly Launched Mustang Stallion Smart Watch 1.43&amp;#x27;&amp;#x27; AMOLED Display, Rotating Bezel, BT Calling, 200+Watchfaces, 700 Nits Brightness, AI Voice Assistant, SpO2 Monitoring (Turbo Orange)"/>
    <x v="3"/>
    <n v="4499"/>
    <n v="14999"/>
    <n v="0.7"/>
    <n v="4.5999999999999996"/>
    <n v="71"/>
    <n v="1"/>
    <b v="0"/>
    <b v="0"/>
    <b v="0"/>
    <b v="0"/>
    <d v="2026-06-05T00:00:00"/>
  </r>
  <r>
    <s v="B0GPDV4GGT"/>
    <s v="Boat Ultima Aeris 1.43&amp;quot; AMOLED Display, 1000 nits Brightness, Ultra Slim 8mm Metal Build, IP68, Auto HR &amp;amp; SpO2 Monitoring, Sleep &amp;amp; Stress Tracking, Stylish Smartwatch for Men &amp;amp; Women(Tan Brown)"/>
    <x v="3"/>
    <n v="2999"/>
    <n v="6499"/>
    <n v="0.53900000000000003"/>
    <n v="1"/>
    <n v="1"/>
    <n v="1"/>
    <b v="0"/>
    <b v="0"/>
    <b v="0"/>
    <b v="0"/>
    <d v="2026-06-05T00:00:00"/>
  </r>
  <r>
    <s v="B0GH7QLM56"/>
    <s v="Fire-Boltt Phoenix Air Smart Watch 1.26â€ Round Display, Rotating Button, Wireless Charging, Ultra Lightweight Metal Body, Bluetooth Calling, Smartwatch with Silicone &amp;amp; Mesh Steel Straps Cloud White"/>
    <x v="3"/>
    <n v="1299"/>
    <n v="14999"/>
    <n v="0.91300000000000003"/>
    <n v="4"/>
    <n v="1890"/>
    <n v="1"/>
    <b v="0"/>
    <b v="0"/>
    <b v="0"/>
    <b v="0"/>
    <d v="2026-06-05T00:00:00"/>
  </r>
  <r>
    <s v="B0CLRCTC58"/>
    <s v="Titan Crest 1.43â€ AMOLED Smart Watch with BT Calling, AI Morning Briefs, Functional Crown, Health Tracking, Aluminium Body, 100+ Sports Modes, Smartwatch for Men and Women - Black Silicone Strap"/>
    <x v="3"/>
    <n v="4499"/>
    <n v="11995"/>
    <n v="0.625"/>
    <n v="4"/>
    <n v="815"/>
    <n v="1"/>
    <b v="0"/>
    <b v="0"/>
    <b v="0"/>
    <b v="0"/>
    <d v="2026-06-05T00:00:00"/>
  </r>
  <r>
    <s v="B0F5HRC4QC"/>
    <s v="Fastrack Limitless FS2 Pro 1.96&amp;quot; AMOLED Smart Watch with BT Calling, AI Voice Assistant, 100+ Sports Modes, 5-Day Battery, Fast Charge, Health Tracking, â€“ Smartwatch for Men &amp;amp; Women (Beige)"/>
    <x v="3"/>
    <n v="2299"/>
    <n v="7995"/>
    <n v="0.71199999999999997"/>
    <n v="4"/>
    <n v="1844"/>
    <n v="1"/>
    <b v="0"/>
    <b v="0"/>
    <b v="0"/>
    <b v="0"/>
    <d v="2026-06-05T00:00:00"/>
  </r>
  <r>
    <s v="B09HVCFLG4"/>
    <s v="Amazfit GTR 3 Pro (Smartchoice) 46mm Smart Watch with BT Phone Calls, BP Monitoring, 1.45â€AMOLED Display, 24/7 HR Tracking, Alexa, GPS, WiFi, 12-Day Battery Life,150 Sports Modes(Infinite Black)"/>
    <x v="3"/>
    <n v="9999"/>
    <n v="25999"/>
    <n v="0.61499999999999999"/>
    <n v="3.9"/>
    <n v="1613"/>
    <n v="1"/>
    <b v="0"/>
    <b v="0"/>
    <b v="0"/>
    <b v="1"/>
    <d v="2026-06-05T00:00:00"/>
  </r>
  <r>
    <s v="B0DZ2PDXLS"/>
    <s v="Boat Storm Infinity w/15 Days Extensive Battery Life, Only Charge Twice a Month, Huge 550mAh Battery, Fast Charge, 1.83â€(4.65cm) Display, Fitness Tracker, Smart Watch for Men &amp;amp; Women (Active Black)"/>
    <x v="3"/>
    <n v="1199"/>
    <n v="5999"/>
    <n v="0.8"/>
    <n v="3.8"/>
    <n v="896"/>
    <n v="1"/>
    <b v="0"/>
    <b v="0"/>
    <b v="0"/>
    <b v="0"/>
    <d v="2026-06-05T00:00:00"/>
  </r>
  <r>
    <s v="B0CBXBY5CK"/>
    <s v="Punnk FunnkÂ® Q18 Present Smart Kids LBS Location Tracking Watch with Voice Calling, SOS, Remote Monitoring, Camera, Geo-Fencing Function (Ocean Green)"/>
    <x v="3"/>
    <n v="1349"/>
    <n v="4999"/>
    <n v="0.73"/>
    <n v="3.1"/>
    <n v="1445"/>
    <n v="1"/>
    <b v="0"/>
    <b v="0"/>
    <b v="0"/>
    <b v="0"/>
    <d v="2026-06-05T00:00:00"/>
  </r>
  <r>
    <s v="B0DCZWZ39H"/>
    <s v="Redmi Watch 5 Active, 2&amp;quot; Display, Metal Body, 18 Day Battery, Bluetooth Calling, Advanced AI Noise Cancellation, Alexa, Matte Silver (M2351W1)"/>
    <x v="3"/>
    <n v="2690"/>
    <n v="4999"/>
    <n v="0.46200000000000002"/>
    <n v="4.0999999999999996"/>
    <n v="1158"/>
    <n v="1"/>
    <b v="0"/>
    <b v="0"/>
    <b v="0"/>
    <b v="0"/>
    <d v="2026-06-05T00:00:00"/>
  </r>
  <r>
    <s v="B0FC6CGZTP"/>
    <s v="Noise Junior Explorer 2 Smart Watch for Kids with 4G SIM Compatible, 2-Way Video &amp;amp; Voice Calling, Geofencing, Real Time Location Monitoring via Google Maps, IP68, SOS Emergency Alerts (Power Pixel)"/>
    <x v="3"/>
    <n v="6499"/>
    <n v="7999"/>
    <n v="0.188"/>
    <n v="4.0999999999999996"/>
    <n v="491"/>
    <n v="1"/>
    <b v="0"/>
    <b v="0"/>
    <b v="0"/>
    <b v="0"/>
    <d v="2026-06-05T00:00:00"/>
  </r>
  <r>
    <s v="B0DFYMY37Y"/>
    <s v="Titan Evolution Smartwatch Comes with 1.85â€ AMOLED Display with 390 * 450 Pixel Resolution|SingleSync BT Calling|AI Voice Assistant|100+ Sports Modes and Watchfaces|Upto 7 Day Battery|IP68"/>
    <x v="3"/>
    <n v="4999"/>
    <n v="6999"/>
    <n v="0.28599999999999998"/>
    <n v="4.2"/>
    <n v="87"/>
    <n v="1"/>
    <b v="0"/>
    <b v="0"/>
    <b v="0"/>
    <b v="0"/>
    <d v="2026-06-05T00:00:00"/>
  </r>
  <r>
    <s v="B0F4RH8CHC"/>
    <s v="Noise Icon 5 Smartwatch with AI Watch Faces &amp;amp; AI Search, 1.95â€ AMOLED Display, 10 Days Battery, Bluetooth Calling, 100+ Sports Modes, IP68 (Starlight Gold)"/>
    <x v="3"/>
    <n v="1699"/>
    <n v="6999"/>
    <n v="0.75700000000000001"/>
    <n v="4"/>
    <n v="13"/>
    <n v="1"/>
    <b v="0"/>
    <b v="0"/>
    <b v="0"/>
    <b v="0"/>
    <d v="2026-06-05T00:00:00"/>
  </r>
  <r>
    <s v="B0FHWWDRRM"/>
    <s v="OnePlus Pad Lite with Biggest Battery in Segment 9340 mAh, 11&amp;quot;(27.94 cm) Display with 500 nits Brightness &amp;amp; 11 Hrs of Video Playback, 6GB RAM 128GB Storage, WiFi, Aero Blue"/>
    <x v="4"/>
    <n v="18499"/>
    <n v="19999"/>
    <n v="7.4999999999999997E-2"/>
    <n v="4.4000000000000004"/>
    <n v="749"/>
    <n v="3"/>
    <b v="0"/>
    <b v="0"/>
    <b v="1"/>
    <b v="0"/>
    <d v="2026-06-05T00:00:00"/>
  </r>
  <r>
    <s v="B0FBRVRF4F"/>
    <s v="Redmi Pad 2 Wi-Fi + Cellular, Active Pen Support, 27.94cm(11&amp;quot;) Model, 2.5K Sharp &amp;amp; Clear Display, 6GB, 128GB, All Day &amp;amp; More 9000mAh Battery, AI-Enabled, Dolby Atmos, HyperOS 2, Sky Blue"/>
    <x v="4"/>
    <n v="19999"/>
    <m/>
    <m/>
    <n v="4.3"/>
    <n v="669"/>
    <n v="2"/>
    <b v="0"/>
    <b v="0"/>
    <b v="0"/>
    <b v="0"/>
    <d v="2026-06-05T00:00:00"/>
  </r>
  <r>
    <s v="B0GWMMPJ42"/>
    <s v="DOMO Slate SL39 10.1-Inch 4G Tablet PC, inbuilt Storage, 4GB RAM + 32GB,1TB Expandable, Dual SIM Slot, Octa Core CPU, Bluetooth, GPS (Green)"/>
    <x v="4"/>
    <n v="7550"/>
    <n v="24990"/>
    <n v="0.69799999999999995"/>
    <n v="3.6"/>
    <n v="5"/>
    <n v="1"/>
    <b v="0"/>
    <b v="0"/>
    <b v="0"/>
    <b v="0"/>
    <d v="2026-06-05T00:00:00"/>
  </r>
  <r>
    <s v="B0G24QRHLG"/>
    <s v="Lenovo Tab (Smartchoice)| 10.1 Inch Display| Wi-Fi Only| 4GB RAM + 128GB ROM (Expandable up to 1 TB)| Metal Body| Dual Speakers with Dolby Atmos| Android 14| Color: Polar Blue"/>
    <x v="4"/>
    <n v="14999"/>
    <n v="19000"/>
    <n v="0.21099999999999999"/>
    <n v="4.3"/>
    <n v="521"/>
    <n v="1"/>
    <b v="0"/>
    <b v="0"/>
    <b v="0"/>
    <b v="0"/>
    <d v="2026-06-05T00:00:00"/>
  </r>
  <r>
    <s v="B0GQSH6FBT"/>
    <s v="Redmi Pad 2 Wi-Fi, Active Pen Support, 27.94cm(11&amp;quot;) Model, 2.5K Sharp &amp;amp; Clear Display, 8GB, 128GB, All Day &amp;amp; More 9000mAh Battery, AI-Enabled, Dolby Atmos, HyperOS 2, Graphite Grey"/>
    <x v="4"/>
    <n v="19843"/>
    <n v="24999"/>
    <n v="0.20599999999999999"/>
    <n v="3.8"/>
    <n v="31"/>
    <n v="2"/>
    <b v="0"/>
    <b v="0"/>
    <b v="0"/>
    <b v="0"/>
    <d v="2026-06-05T00:00:00"/>
  </r>
  <r>
    <s v="B0CDLBNZQH"/>
    <s v="IWEGGO 15 Android Tablet, 10 18GB RAM + 128GB ROM/2TB Expandable Tablet, 2.0GHz Quad-Core Processor, 1280x800 HD Touchscreen, 5G WiFi6 BT5.0, 2-in-1 Tablets with (Navy Blue)"/>
    <x v="4"/>
    <n v="11457"/>
    <m/>
    <m/>
    <n v="3.8"/>
    <n v="204"/>
    <n v="11"/>
    <b v="0"/>
    <b v="0"/>
    <b v="0"/>
    <b v="0"/>
    <d v="2026-06-05T00:00:00"/>
  </r>
  <r>
    <s v="B092DXT698"/>
    <s v="Lenovo Tab M8 FHD (8 inch(20cm), 4 GB, 64 GB, Wi-Fi+LTE, Calling), Grey with Camera Flash"/>
    <x v="4"/>
    <n v="11999"/>
    <n v="21999"/>
    <n v="0.45500000000000002"/>
    <n v="4"/>
    <n v="2028"/>
    <n v="1"/>
    <b v="0"/>
    <b v="0"/>
    <b v="0"/>
    <b v="0"/>
    <d v="2026-06-05T00:00:00"/>
  </r>
  <r>
    <s v="B0CGWTH8YH"/>
    <s v="CUPEISI Android 13 Tablet 10 inch 12GB RAM+128GB ROM/1TB Expandable Tablet, Bluetooth, Wi-Fi, 2024 Newest 2 in 1 Tablets with Keyboard Case, Mouse Capacitive Pen, 2.0 Quad Core CPU"/>
    <x v="4"/>
    <n v="10683.5"/>
    <n v="41646.15"/>
    <n v="0.74299999999999999"/>
    <n v="4.3"/>
    <n v="970"/>
    <n v="10"/>
    <b v="0"/>
    <b v="0"/>
    <b v="0"/>
    <b v="0"/>
    <d v="2026-06-05T00:00:00"/>
  </r>
  <r>
    <s v="B0G4QQ4FYB"/>
    <s v="OnePlus Pad Go 2, 30.73 cm (12.1 inch) 2.8K Display, Dolby Visionâ„¢, 120Hz Refresh Rate, Quad Speakers, AI, 10050 mAh Battery, 5G Tablet, 8GB RAM 256 GB Storage, Shadow Black"/>
    <x v="4"/>
    <n v="34999"/>
    <n v="35999"/>
    <n v="2.8000000000000001E-2"/>
    <n v="4.0999999999999996"/>
    <n v="654"/>
    <n v="1"/>
    <b v="0"/>
    <b v="0"/>
    <b v="0"/>
    <b v="0"/>
    <d v="2026-06-05T00:00:00"/>
  </r>
  <r>
    <s v="B0FNWSP5L3"/>
    <s v="Samsung Galaxy Tab S10 Lite with AI [Smartchoice], S Pen in-Box, 27.7 cm (10.9 Inch) Display, Object Eraser, 90Hz Refresh Rate, IP42 Rating, 6GB RAM, 128GB Storage, Wi-Fi + 5G Tablet, Silver"/>
    <x v="4"/>
    <n v="36999"/>
    <n v="41999"/>
    <n v="0.11899999999999999"/>
    <n v="4.5"/>
    <n v="175"/>
    <n v="1"/>
    <b v="0"/>
    <b v="0"/>
    <b v="0"/>
    <b v="0"/>
    <d v="2026-06-05T00:00:00"/>
  </r>
  <r>
    <s v="B0F4K27HBJ"/>
    <s v="IKALL N11 Pro Tablet - 7inch Display, 2GB RAM &amp;amp; 16GB ROM, 3000mAh Battery, Wi-Fi, Android 8.0, 2MP Rear Camera (Black)"/>
    <x v="4"/>
    <n v="3999"/>
    <n v="5999"/>
    <n v="0.33300000000000002"/>
    <n v="1.9"/>
    <n v="40"/>
    <n v="1"/>
    <b v="0"/>
    <b v="0"/>
    <b v="0"/>
    <b v="0"/>
    <d v="2026-06-05T00:00:00"/>
  </r>
  <r>
    <s v="B0DP5215CG"/>
    <s v="IKALL N11 Tablet â€“ 7 inch HD Display, Android 8.0, Quad-Core Processor, 2GB RAM, 16GB Storage &amp;amp; 3000mAh Battery - Black"/>
    <x v="4"/>
    <n v="3999"/>
    <n v="5999"/>
    <n v="0.33300000000000002"/>
    <n v="2.7"/>
    <n v="29"/>
    <n v="1"/>
    <b v="0"/>
    <b v="0"/>
    <b v="0"/>
    <b v="0"/>
    <d v="2026-06-05T00:00:00"/>
  </r>
  <r>
    <s v="B0GZH4QV3T"/>
    <s v="IKALL N11 Pro 7â€ Android Tablet â€“ 2GB RAM, 16GB Storage (Expandable), WiFi Enabled | 3000mAh Battery | Dual Camera | Compact &amp;amp; Lightweight Tablet for Entertainment &amp;amp; Learning (Black)"/>
    <x v="4"/>
    <n v="3949"/>
    <n v="5999"/>
    <n v="0.34200000000000003"/>
    <n v="1"/>
    <n v="1"/>
    <n v="1"/>
    <b v="0"/>
    <b v="0"/>
    <b v="0"/>
    <b v="0"/>
    <d v="2026-06-05T00:00:00"/>
  </r>
  <r>
    <s v="B0G1C13SB3"/>
    <s v="Samsung Galaxy Tab A11+ [Smartchoice], 27.82 cm (11 inch) Display, 6 GB RAM, 128 GB Storage, 90Hz Refresh Rate, AI with Google Gemini, Dolby Atmos, Quad Speakers, Wi-Fi Tablet, Gray"/>
    <x v="4"/>
    <n v="25999"/>
    <n v="27999"/>
    <n v="7.0999999999999994E-2"/>
    <n v="4.5"/>
    <n v="199"/>
    <n v="1"/>
    <b v="0"/>
    <b v="0"/>
    <b v="0"/>
    <b v="0"/>
    <d v="2026-06-05T00:00:00"/>
  </r>
  <r>
    <s v="B0GQV514CT"/>
    <s v="Apple iPad Air 27.59 cm (11â€³) (M4): Liquid Retina Display, 128 GB, 12MP Front/Back Camera, Wi-Fi 7 with Apple N1, Touch ID, All-Day Battery Life â€” Purple"/>
    <x v="4"/>
    <n v="61699"/>
    <n v="64900"/>
    <n v="4.9000000000000002E-2"/>
    <n v="4.7"/>
    <n v="39"/>
    <n v="1"/>
    <b v="0"/>
    <b v="0"/>
    <b v="0"/>
    <b v="0"/>
    <d v="2026-06-05T00:00:00"/>
  </r>
  <r>
    <s v="B0G2RVGCGC"/>
    <s v="Lenovo Idea Tab Plus with Pen |Wifi +5G |12.1&amp;quot; 2.5K Display, 800nits Peak Brightness |8GB RAM + 256GB ROM (Expandable upto 2TB)| MediaTek Dimensity 6400| 10200mAh|4 Speakers with Dolby Atmos|Luna Grey"/>
    <x v="4"/>
    <n v="31999"/>
    <n v="41000"/>
    <n v="0.22"/>
    <n v="4.3"/>
    <n v="70"/>
    <n v="1"/>
    <b v="0"/>
    <b v="0"/>
    <b v="0"/>
    <b v="0"/>
    <d v="2026-06-05T00:00:00"/>
  </r>
  <r>
    <s v="B0CG89T15H"/>
    <s v="ECOPAD Android 13 Tablet 2023 - 10 Inch With 6GB RAM, 64GB ROM, 1TB Expanded, Quad-Core, 2 in 1 With Keyboard Mouse, Wi-Fi 6, Bluetooth, GMS Certified IPS Touch Screen - Black Set"/>
    <x v="4"/>
    <n v="9635"/>
    <m/>
    <m/>
    <n v="4"/>
    <n v="2500"/>
    <n v="1"/>
    <b v="0"/>
    <b v="0"/>
    <b v="0"/>
    <b v="0"/>
    <d v="2026-06-05T00:00:00"/>
  </r>
  <r>
    <s v="B0D6G4CVZ7"/>
    <s v="Lenovo Tab Plus with Octa JBL Hi-Fi Speakers| 8 GB RAM, 128 GB ROM| 11.5 Inch, 2K, 90 Hz Refresh| Wi-Fi Tablet| Android 14| 45 W Fast Charger| Built-in Kickstand| Color: Luna Grey"/>
    <x v="4"/>
    <n v="21999"/>
    <n v="32000"/>
    <n v="0.313"/>
    <n v="4.5"/>
    <n v="2070"/>
    <n v="1"/>
    <b v="0"/>
    <b v="0"/>
    <b v="0"/>
    <b v="0"/>
    <d v="2026-06-05T00:00:00"/>
  </r>
  <r>
    <s v="B0F4QYKYND"/>
    <s v="HOTTABLET Tablet 7 Inch Android 14.0 with Protective Case, 8GB (4+4GB Expand) RAM+32GB ROM, IPS Screen, Dual Camera, Bluetooth 5.0 WiFi Tab (Gray)"/>
    <x v="4"/>
    <n v="6162.97"/>
    <m/>
    <m/>
    <n v="3.7"/>
    <n v="805"/>
    <n v="14"/>
    <b v="0"/>
    <b v="0"/>
    <b v="0"/>
    <b v="0"/>
    <d v="2026-06-05T00:00:00"/>
  </r>
  <r>
    <s v="B0FJG2TL3C"/>
    <s v="Lenovo Idea Tab Smartchoice with Pen|5G + Wi-Fi|11 Inch,2.5K Display, 500 Nits Brightness|8GB RAM + 256GB ROM(Expandable Up to 2 TB)|Mediatek Dimensity 6300|Android 15|4-Speakers with Dolby Atmos,Grey"/>
    <x v="4"/>
    <n v="26999"/>
    <n v="29000"/>
    <n v="6.9000000000000006E-2"/>
    <n v="4.3"/>
    <n v="639"/>
    <n v="1"/>
    <b v="0"/>
    <b v="0"/>
    <b v="0"/>
    <b v="0"/>
    <d v="2026-06-05T00:00:00"/>
  </r>
  <r>
    <s v="B0GDQ26XZB"/>
    <s v="Redmi Pad 2 Pro [Smartchoice] | 12000mAh | Snapdragon 7s Gen 4 | 12.1-inch,2.5K Display |83+ Days Standby |HyperOS 2 |120Hz |Dolby Vision Atmos |Wi-Fi 6 |AI Powered | 8GB, 128GB | Quick Silver"/>
    <x v="4"/>
    <n v="26999"/>
    <n v="29999"/>
    <n v="0.1"/>
    <n v="4.2"/>
    <n v="130"/>
    <n v="1"/>
    <b v="0"/>
    <b v="0"/>
    <b v="0"/>
    <b v="0"/>
    <d v="2026-06-05T00:00:00"/>
  </r>
  <r>
    <s v="B0CTH1JX6P"/>
    <s v="IWEGGO Android 15 Tablet, 10 inch 12GB RAM+64GB ROM+1TB Expandable, 1.8Ghz Quad-core Processor, 2 in 1 Tablets with Keyboard Case Mouse Stylus, 5G Wifi, 8MP Dual Camera, 1280*800 HD Screen Tablet Blue"/>
    <x v="4"/>
    <n v="9860.76"/>
    <n v="24823"/>
    <n v="0.60299999999999998"/>
    <n v="3.9"/>
    <n v="1288"/>
    <n v="7"/>
    <b v="0"/>
    <b v="0"/>
    <b v="0"/>
    <b v="0"/>
    <d v="2026-06-05T00:00:00"/>
  </r>
  <r>
    <s v="B0GGZNTXC4"/>
    <s v="Motorola Pad 60 Neo (Blue, 8 GB RAM, 128 GB ROM)"/>
    <x v="4"/>
    <n v="20000"/>
    <n v="25999"/>
    <n v="0.23100000000000001"/>
    <n v="3.6"/>
    <n v="25"/>
    <n v="10"/>
    <b v="0"/>
    <b v="0"/>
    <b v="0"/>
    <b v="0"/>
    <d v="2026-06-05T00:00:00"/>
  </r>
  <r>
    <s v="B0GWM9X76Q"/>
    <s v="DOMO Slate SL39 10.1-Inch 4G Tablet PC, inbuilt Storage, 4GB RAM + 32GB,1TB Expandable, Dual SIM Slot, Octa Core CPU, GPS, Bluetooth (Green)"/>
    <x v="4"/>
    <n v="7550"/>
    <n v="24990"/>
    <n v="0.69799999999999995"/>
    <n v="5"/>
    <n v="1"/>
    <n v="1"/>
    <b v="0"/>
    <b v="0"/>
    <b v="0"/>
    <b v="0"/>
    <d v="2026-06-05T00:00:00"/>
  </r>
  <r>
    <s v="B0GWHYQW77"/>
    <s v="Lenovo Idea Tab Pro Gen 2 with Pen Plus | 13&amp;quot; Display, 3.5K Resolution, 144Hz Refresh | 8GB, 256GB | Snapdragon 8s Gen 4 | 10200mAh | 4 JBL Speakers| USB 3.0 with DP-Out | Wi-Fi 7 | Luna Grey"/>
    <x v="4"/>
    <n v="39999"/>
    <n v="70000"/>
    <n v="0.42899999999999999"/>
    <n v="4.4000000000000004"/>
    <n v="58"/>
    <n v="1"/>
    <b v="0"/>
    <b v="0"/>
    <b v="0"/>
    <b v="0"/>
    <d v="2026-06-05T00:00:00"/>
  </r>
  <r>
    <s v="B0GP6YWSY2"/>
    <s v="Lenovo {Smartchoice} Idea Tab Pro with Pen Plus &amp;amp; Keyboard|12.7&amp;quot; 3K Display|144 Hz Refresh|12 GB RAM, 256 GB ROM| AI-Enabled| MediaTek Dimensity 8300|4 JBL Speakers|10200 mAh Battery with 45 W Charger"/>
    <x v="4"/>
    <n v="39999"/>
    <n v="58000"/>
    <n v="0.31"/>
    <n v="4.3"/>
    <n v="7"/>
    <n v="1"/>
    <b v="0"/>
    <b v="0"/>
    <b v="0"/>
    <b v="0"/>
    <d v="2026-06-05T00:00:00"/>
  </r>
  <r>
    <s v="B0DW49RMHR"/>
    <s v="XIAOMI Pad 7 Nano Texture Display [Smartchoice] | Snapdragon 7+ Gen 3| 3.2K Display (28.44 cm /11.2&amp;quot;) Tablet| 12GB, 256GB| Anti-Reflective| Anti-Glare| HyperOS 2| Dolby Vision Atmos |Sage Green"/>
    <x v="4"/>
    <n v="32999"/>
    <n v="39999"/>
    <n v="0.17499999999999999"/>
    <n v="4.5"/>
    <n v="2102"/>
    <n v="1"/>
    <b v="0"/>
    <b v="0"/>
    <b v="0"/>
    <b v="0"/>
    <d v="2026-06-05T00:00:00"/>
  </r>
  <r>
    <s v="B0919NL1HZ"/>
    <s v="Lenovo M8 HD 2nd Gen with Wi-Fi (8 Inch, 3GB, 32 GB) [Year-2020], Grey"/>
    <x v="4"/>
    <n v="10999"/>
    <n v="17999"/>
    <n v="0.38900000000000001"/>
    <n v="4.0999999999999996"/>
    <n v="1130"/>
    <n v="1"/>
    <b v="0"/>
    <b v="0"/>
    <b v="0"/>
    <b v="0"/>
    <d v="2026-06-05T00:00:00"/>
  </r>
  <r>
    <s v="B0CKLCYJFB"/>
    <s v="Baatu Enable Tablet - Parental Control Tab for Kids (10.1 inch) | Screen Time Monitor, App Blocker, Content Monitor &amp;amp; Location Tracking | 6000 mAH Battery | 4G &amp;amp; WiFi Calling | 4GB RAM, 64 GB ROM"/>
    <x v="4"/>
    <n v="8349"/>
    <n v="15999"/>
    <n v="0.47799999999999998"/>
    <n v="3.6"/>
    <n v="146"/>
    <n v="1"/>
    <b v="0"/>
    <b v="0"/>
    <b v="0"/>
    <b v="0"/>
    <d v="2026-06-05T00:00:00"/>
  </r>
  <r>
    <s v="B0D7N23QKD"/>
    <s v="OnePlus Pad 2 (12.1 Inch),12GB RAM, 256GB Storage Snapdragon 8 Gen 3,144Hz Refresh Rate, 6 Speakers, 3K 12.1 Display, AI Features, 9610 mAh Battery, Wi-Fi with Cellular Data Sharing [Nimbus Gray]"/>
    <x v="4"/>
    <n v="35999"/>
    <n v="47999"/>
    <n v="0.25"/>
    <n v="4.5"/>
    <n v="939"/>
    <n v="1"/>
    <b v="0"/>
    <b v="0"/>
    <b v="0"/>
    <b v="0"/>
    <d v="2026-06-05T00:00:00"/>
  </r>
  <r>
    <s v="B0FCR8HZVF"/>
    <s v="Lenovo Yoga Tab Plus Smartchoice AI Tablet with Pen+Keyboard |12.7&amp;quot; Display, 3K Resolution, 144 Hz|16GB RAM, 256GB ROM| Snapdragon 8 Gen 3|10200 mAh|6 Speakers| USB 3.0 with DP-Out|1Year ADP Free|Teal"/>
    <x v="4"/>
    <n v="54999"/>
    <n v="79000"/>
    <n v="0.30399999999999999"/>
    <n v="4.4000000000000004"/>
    <n v="291"/>
    <n v="1"/>
    <b v="0"/>
    <b v="0"/>
    <b v="0"/>
    <b v="0"/>
    <d v="2026-06-05T00:00:00"/>
  </r>
  <r>
    <s v="B0BY2ZZ4SJ"/>
    <s v="OnePlus Pad 29.49Cm LCD Display, 12Gb Ram,256Gb Storage, Mediatek Dimensity 9000, Android 13.1, 144Hz Refresh Rate, Dolby Vision Atmos, Wi-Fi with Cellular Data Sharing Tablet, Green"/>
    <x v="4"/>
    <n v="28999"/>
    <n v="39999"/>
    <n v="0.27500000000000002"/>
    <n v="4.5"/>
    <n v="743"/>
    <n v="1"/>
    <b v="0"/>
    <b v="0"/>
    <b v="0"/>
    <b v="0"/>
    <d v="2026-06-05T00:00:00"/>
  </r>
  <r>
    <s v="B0DZ79Q1DB"/>
    <s v="Apple iPad 11â€³: A16 chip, 27.69 cm (11â€³) Model, Liquid Retina Display, 128GB, Wi-Fi 6, 12MP Front/12MP Back Camera, Touch ID, All-Day Battery Life â€” Silver"/>
    <x v="4"/>
    <n v="34400"/>
    <n v="34900"/>
    <n v="1.4E-2"/>
    <n v="4.5999999999999996"/>
    <n v="1602"/>
    <n v="1"/>
    <b v="0"/>
    <b v="0"/>
    <b v="0"/>
    <b v="0"/>
    <d v="2026-06-05T00:00:00"/>
  </r>
  <r>
    <s v="B0GX6Q2NBS"/>
    <s v="OnePlus Pad 4, SnapdragonÂ® 8 Elite Gen 5 Platform, 33.53cm 13.2&amp;quot; 3.4K Screen, 144Hz Adaptive, 8 Speakers, AI Powered, PC-Level Productivity, 13,380 mAh Battery, 12GB + 512GB, WiFi,Dune Glow"/>
    <x v="4"/>
    <n v="64999"/>
    <n v="67999"/>
    <n v="4.3999999999999997E-2"/>
    <n v="4.2"/>
    <n v="41"/>
    <n v="1"/>
    <b v="0"/>
    <b v="0"/>
    <b v="0"/>
    <b v="0"/>
    <d v="2026-06-05T00:00:00"/>
  </r>
  <r>
    <s v="B0GWMPF9PM"/>
    <s v="DOMO Slate SL39 10.1-Inch 4G Tablet PC, inbuilt Storage, 4GB RAM + 32GB,1TB Expandable, Dual SIM Slot, Bluetooth, Octa Core CPU, GPS, (Green)"/>
    <x v="4"/>
    <n v="7550"/>
    <n v="24990"/>
    <n v="0.69799999999999995"/>
    <n v="3"/>
    <n v="9"/>
    <n v="1"/>
    <b v="0"/>
    <b v="0"/>
    <b v="0"/>
    <b v="0"/>
    <d v="2026-06-05T00:00:00"/>
  </r>
  <r>
    <s v="B0GX6W5XYT"/>
    <s v="OnePlus Pad 4, SnapdragonÂ® 8 Elite Gen 5 Platform, 33.53cm 13.2&amp;quot; 3.4K Screen, 144Hz Adaptive, 8 Speakers, AI Powered, PC-Level Productivity, 13,380 mAh Battery, 8GB + 256GB, WiFi,Sage Mist"/>
    <x v="4"/>
    <n v="59999"/>
    <n v="62999"/>
    <n v="4.8000000000000001E-2"/>
    <n v="4.2"/>
    <n v="41"/>
    <n v="1"/>
    <b v="0"/>
    <b v="0"/>
    <b v="0"/>
    <b v="0"/>
    <d v="2026-06-05T00:00:00"/>
  </r>
  <r>
    <s v="B0GQTJDRSL"/>
    <s v="Acer Iconia 5G Tablet|11.45&amp;quot; 2.2kâ€90Hz IPS Display, MediaTek 8791 Processor, 8GB RAM + 128GB Storage, 16MP Rear+8MP Front Camera,Wi-Fi + 5G Volte, Android 15,BT 5.2, Slim Metal Body,Silver"/>
    <x v="4"/>
    <n v="25499"/>
    <n v="44999"/>
    <n v="0.433"/>
    <n v="3.6"/>
    <n v="65"/>
    <n v="1"/>
    <b v="0"/>
    <b v="0"/>
    <b v="0"/>
    <b v="0"/>
    <d v="2026-06-05T00:00:00"/>
  </r>
  <r>
    <s v="B0DZCB3G9Q"/>
    <s v="Lenovo {Smartchoice} Idea Tab Pro with Pen Plus|12.7&amp;quot; 3K Display|144 Hz Refresh|12 GB RAM, 256 GB ROM| AI-Enabled| MediaTek Dimensity 8300|Quad JBL Speakers|10200 mAh Battery with 45 W Charger|WiFi 6e"/>
    <x v="4"/>
    <n v="33999"/>
    <n v="48999"/>
    <n v="0.30599999999999999"/>
    <n v="4.4000000000000004"/>
    <n v="787"/>
    <n v="1"/>
    <b v="0"/>
    <b v="0"/>
    <b v="0"/>
    <b v="0"/>
    <d v="2026-06-05T00:00:00"/>
  </r>
  <r>
    <s v="B0FVXV5Z8W"/>
    <s v="Motorola Pad 60 Neo (Pantone Bronze Green, 8GB RAM, 128GB Storage)"/>
    <x v="4"/>
    <n v="25790"/>
    <n v="28000"/>
    <n v="7.9000000000000001E-2"/>
    <n v="3.8"/>
    <n v="58"/>
    <n v="1"/>
    <b v="0"/>
    <b v="0"/>
    <b v="0"/>
    <b v="0"/>
    <d v="2026-06-05T00:00:00"/>
  </r>
  <r>
    <s v="B0GGB63MFD"/>
    <s v="IKALL N16 Pro Smart Tablet â€“ 8 Inch HD Display, Octa Core Processor, 4GB RAM + 32GB ROM, Android 12, 4G Voice Calling, Long-Lasting 5000mAh Battery (Blue)"/>
    <x v="4"/>
    <n v="7199"/>
    <n v="8999"/>
    <n v="0.2"/>
    <n v="2.6"/>
    <n v="3"/>
    <n v="1"/>
    <b v="0"/>
    <b v="0"/>
    <b v="0"/>
    <b v="0"/>
    <d v="2026-06-05T00:00:00"/>
  </r>
  <r>
    <s v="B0GMJMGKRC"/>
    <s v="DOMO Slate SL39 4G Tablet 10.1 inch, 4GB RAM + 32GB ROM, 4G Connectivity, inbuilt Storage, 1TB Expandable, Dual SIM Slot, Bluetooth Octa Core CPU GPS, (Grey)"/>
    <x v="4"/>
    <n v="7550"/>
    <n v="24990"/>
    <n v="0.69799999999999995"/>
    <n v="3.3"/>
    <n v="11"/>
    <n v="1"/>
    <b v="0"/>
    <b v="0"/>
    <b v="0"/>
    <b v="0"/>
    <d v="2026-06-05T00:00:00"/>
  </r>
  <r>
    <s v="B0CJ389HC1"/>
    <s v="Samsung Galaxy Tab A9 22.10 cm (8.7 inch) Display, RAM 4 GB, ROM 64 GB Expandable, Wi-Fi+4G, Tablet, Dark Blue"/>
    <x v="4"/>
    <n v="18749"/>
    <n v="25999"/>
    <n v="0.27900000000000003"/>
    <n v="4"/>
    <n v="238"/>
    <n v="1"/>
    <b v="0"/>
    <b v="0"/>
    <b v="0"/>
    <b v="0"/>
    <d v="2026-06-05T00:00:00"/>
  </r>
  <r>
    <s v="B0GPVLKNN4"/>
    <s v="XIAOMI Pad 8 [Smartchoice] Flagship Snapdragon 8s Gen 4 |11.2&amp;quot; 3.2K Display | 8GB, 128GB | Ultra Slim Metal Design | 9200mAh Battery | 68 Bn+ Colours HyperAI | Wi-Fi 7 | Titanium Blue"/>
    <x v="4"/>
    <n v="35999"/>
    <n v="37999"/>
    <n v="5.2999999999999999E-2"/>
    <n v="4.4000000000000004"/>
    <n v="39"/>
    <n v="1"/>
    <b v="0"/>
    <b v="0"/>
    <b v="0"/>
    <b v="0"/>
    <d v="2026-06-05T00:00:00"/>
  </r>
  <r>
    <s v="B0DX234NWP"/>
    <s v="XP-Pen Magic Note Pad 10.95&amp;quot; Digital Note-Taking Tablet, Paper-Like LCD Display, 3-Color Modes, 16K Pressure Stylus (X3 Pro Pencil 2), 6+128GB, Android 14 â€“ for Writing, Reading, PDF Notes &amp;amp; Study"/>
    <x v="4"/>
    <n v="39995"/>
    <n v="79999"/>
    <n v="0.5"/>
    <n v="4.3"/>
    <n v="288"/>
    <n v="1"/>
    <b v="0"/>
    <b v="0"/>
    <b v="0"/>
    <b v="0"/>
    <d v="2026-06-05T00:00:00"/>
  </r>
  <r>
    <s v="B0F29L7HJP"/>
    <s v="Samsung Galaxy Tab S10 FE [Smartchoice], S Pen in-Box, 27.7 cm (10.9 inch) Display, AI Writing, Desktop Mode, Pre Loaded Pro Apps, 8 GB RAM, 128 GB Storage, Wi-Fi Tablet, Silver"/>
    <x v="4"/>
    <n v="49999"/>
    <m/>
    <m/>
    <n v="4.5"/>
    <n v="242"/>
    <n v="1"/>
    <b v="0"/>
    <b v="0"/>
    <b v="0"/>
    <b v="0"/>
    <d v="2026-06-05T00:00:00"/>
  </r>
  <r>
    <s v="B0FN7431GX"/>
    <s v="OnePlus Pad 3 World&amp;#x27;s Fastest Snapdragon 8 Elite Processor, 13.2&amp;quot; 3.4k Screen, 144Hz Adaptive Refresh Rate, 8 Speakers, AI, 12140 mAh Battery, 12 GB RAM + 256 GB ROM WiFi, Storm Blue"/>
    <x v="4"/>
    <n v="49999"/>
    <m/>
    <m/>
    <n v="4.5"/>
    <n v="511"/>
    <n v="1"/>
    <b v="0"/>
    <b v="0"/>
    <b v="0"/>
    <b v="0"/>
    <d v="2026-06-05T00:00:00"/>
  </r>
  <r>
    <s v="B0DHH9PWHJ"/>
    <s v="Samsung Galaxy Tab S10 Plus [Smartchoice], S Pen in-Box, 31.5 cm (12.4 inch) Dynamic AMOLED 2X Display, 12 GB RAM, 256 GB Storage, Wi-Fi + 5G Tablet, Moonstone Gray"/>
    <x v="4"/>
    <n v="79999"/>
    <n v="117599"/>
    <n v="0.32"/>
    <n v="3.9"/>
    <n v="22"/>
    <n v="1"/>
    <b v="0"/>
    <b v="0"/>
    <b v="0"/>
    <b v="0"/>
    <d v="2026-06-05T00:00:00"/>
  </r>
  <r>
    <s v="B0G823JLBV"/>
    <s v="IKALL N12 7-Inch Android Tablet | 3GB RAM, 16GB ROM | 2MP Rear Camera | 3000mAh Battery | WiFi Tablet â€“ Black"/>
    <x v="4"/>
    <n v="4099"/>
    <n v="5999"/>
    <n v="0.317"/>
    <n v="2.4"/>
    <n v="29"/>
    <n v="1"/>
    <b v="0"/>
    <b v="0"/>
    <b v="0"/>
    <b v="0"/>
    <d v="2026-06-05T00:00:00"/>
  </r>
  <r>
    <s v="B0GDTRYXYF"/>
    <s v="HAMMER Airflow Neo Earbuds with 80H Playtime, 13mm Titanium Driver, 40ms Gaming Mode, Fast Charging Buds, Type-C Charging, Voice Assistant, Lightweight Dual-Tone Design (Grey)"/>
    <x v="5"/>
    <n v="599"/>
    <n v="2499"/>
    <n v="0.76"/>
    <n v="4"/>
    <n v="509"/>
    <n v="1"/>
    <b v="0"/>
    <b v="0"/>
    <b v="1"/>
    <b v="0"/>
    <d v="2026-06-05T00:00:00"/>
  </r>
  <r>
    <s v="B0FC2YFSN4"/>
    <s v="Boat Airdopes 219, 4Mics ENx, 40H Battery, Best in Segment for Calling, Stream Ad Free Music via App Support, Bluetooth Earbuds, TWS Ear Buds Wireless Earphones with mic (Forest Sage)"/>
    <x v="5"/>
    <n v="899"/>
    <n v="3990"/>
    <n v="0.77500000000000002"/>
    <n v="3.9"/>
    <n v="5247"/>
    <n v="1"/>
    <b v="0"/>
    <b v="0"/>
    <b v="0"/>
    <b v="0"/>
    <d v="2026-06-05T00:00:00"/>
  </r>
  <r>
    <s v="B0GTVK1YFJ"/>
    <s v="DuoPods Infinity True Wireless Earbuds, 70H Playtime, 3D Soundstage, AI-ENC HD Calls, 13mm Drivers, AAC Audio, Bluetooth 5.3, IPX4, Made in India"/>
    <x v="5"/>
    <n v="899"/>
    <n v="4499"/>
    <n v="0.8"/>
    <m/>
    <n v="0"/>
    <n v="1"/>
    <b v="0"/>
    <b v="0"/>
    <b v="0"/>
    <b v="0"/>
    <d v="2026-06-05T00:00:00"/>
  </r>
  <r>
    <s v="B0FMDL81GS"/>
    <s v="OnePlus Nord Buds 3r TWS Earbuds up to 54 Hours Playback, 2-mic Clear Calls, 3D Spatial Audio, AI Translation, 12.4mm Drivers, Dual-Device Connectivity, 47ms Low Latency - Ash Black"/>
    <x v="5"/>
    <n v="1799"/>
    <n v="1999"/>
    <n v="0.1"/>
    <n v="4.3"/>
    <n v="45386"/>
    <n v="1"/>
    <b v="0"/>
    <b v="0"/>
    <b v="0"/>
    <b v="0"/>
    <d v="2026-06-05T00:00:00"/>
  </r>
  <r>
    <s v="B0GY8PF9S6"/>
    <s v="CMEE BURDS Earbuds Wireless Bluetooth 5.3 TWS Earphones with Full Touch Control, Built-in Microphone, Premium Sound Quality, Fast Stable Connection, Type C Charger"/>
    <x v="5"/>
    <n v="349"/>
    <n v="1999"/>
    <n v="0.82499999999999996"/>
    <m/>
    <n v="0"/>
    <n v="1"/>
    <b v="0"/>
    <b v="0"/>
    <b v="0"/>
    <b v="0"/>
    <d v="2026-06-05T00:00:00"/>
  </r>
  <r>
    <s v="B0G2H4R5YB"/>
    <s v="Kratos TW02 Ear Buds Wireless with 30H Playtime, Noise Isolation &amp;amp; Clear Calls, Bluetooth Earbuds with Voice Assistant, Ear Buds with Bluetooth V 5.3 &amp;amp; with Type C Fast Charging, IPX5 TWS Earphones"/>
    <x v="5"/>
    <n v="498.88"/>
    <n v="1999"/>
    <n v="0.75"/>
    <n v="4.2"/>
    <n v="680"/>
    <n v="1"/>
    <b v="0"/>
    <b v="0"/>
    <b v="0"/>
    <b v="0"/>
    <d v="2026-06-05T00:00:00"/>
  </r>
  <r>
    <s v="B0FZD7ZJGD"/>
    <s v="HAMMER Ultra Pods True Wireless Earbuds with in-Built Mic, 100H Standby Time, 1H Charging USB Type-C, 13mm Dynamic Drivers, 50H Playtime, BT v6.0 Connectivity, IPX5 Water Resistant (Beige)"/>
    <x v="5"/>
    <n v="599"/>
    <n v="3499"/>
    <n v="0.82899999999999996"/>
    <n v="3.7"/>
    <n v="1062"/>
    <n v="1"/>
    <b v="0"/>
    <b v="0"/>
    <b v="0"/>
    <b v="0"/>
    <d v="2026-06-05T00:00:00"/>
  </r>
  <r>
    <s v="B0FHKHT717"/>
    <s v="Philips TAT1269 Bluetooth Truly Wireless in Ear Earbuds with mic, 13mm Drivers, Bluetooth 5.4, 40H Playtime, IPX5, Fast Charging, Touch Controls, Voice Assistant, Mono Mode, LED Indicator (Deep Black)"/>
    <x v="5"/>
    <n v="999"/>
    <n v="1999"/>
    <n v="0.5"/>
    <n v="3.9"/>
    <n v="691"/>
    <n v="1"/>
    <b v="0"/>
    <b v="0"/>
    <b v="0"/>
    <b v="0"/>
    <d v="2026-06-05T00:00:00"/>
  </r>
  <r>
    <s v="B0C3ZYFZ77"/>
    <s v="Boat Airdopes Joy, 35Hrs Battery, Fast Charge, IWP Tech, Low Latency, 2Mic ENx, Type-C Port, v5.3 Bluetooth Earbuds, TWS Ear Buds Wireless Earphones with mic(Jet Black)"/>
    <x v="5"/>
    <n v="799"/>
    <n v="3490"/>
    <n v="0.77100000000000002"/>
    <n v="3.8"/>
    <n v="9699"/>
    <n v="1"/>
    <b v="0"/>
    <b v="0"/>
    <b v="0"/>
    <b v="0"/>
    <d v="2026-06-05T00:00:00"/>
  </r>
  <r>
    <s v="B0F8BVSK21"/>
    <s v="Boat Airdopes 141 Gen 2, 4 Mics ENx Tech, 48 Hrs Playback, Free Music Streaming, Fast Charge, Low Latency, IPX4, v5.4 Bluetooth Earbuds, TWS Ear Buds Wireless Earphones with mic (Active Black)"/>
    <x v="5"/>
    <n v="799"/>
    <n v="3990"/>
    <n v="0.8"/>
    <n v="3.9"/>
    <n v="89370"/>
    <n v="1"/>
    <b v="0"/>
    <b v="0"/>
    <b v="0"/>
    <b v="0"/>
    <d v="2026-06-05T00:00:00"/>
  </r>
  <r>
    <s v="B0FBR6HGXM"/>
    <s v="realme Buds T200x True Wireless Earbuds with 12.4mm Dynamic Bass Drivers, 25 dB ANC, Quad Mic, 45ms Latency, Upto 48 Hrs Playback, Fast Charge, IP55 Rated, BT 5.4 (Pure Black)"/>
    <x v="5"/>
    <n v="1329"/>
    <n v="2499"/>
    <n v="0.46800000000000003"/>
    <n v="4.0999999999999996"/>
    <n v="33124"/>
    <n v="1"/>
    <b v="0"/>
    <b v="0"/>
    <b v="0"/>
    <b v="0"/>
    <d v="2026-06-05T00:00:00"/>
  </r>
  <r>
    <s v="B0G6M5B9KC"/>
    <s v="Earbuds for One-Plus Nord CE 2 Lite Earbuds Original Like True Wireless Bluetooth in-Ear Headphones Earphones TWS with Mic, Touch Controls, Deep Bass, Sports (38 Hours Case, OPBR1)"/>
    <x v="5"/>
    <n v="699"/>
    <n v="1999"/>
    <n v="0.65"/>
    <n v="2"/>
    <n v="2"/>
    <n v="1"/>
    <b v="0"/>
    <b v="0"/>
    <b v="0"/>
    <b v="0"/>
    <d v="2026-06-05T00:00:00"/>
  </r>
  <r>
    <s v="B0FCMRVJKH"/>
    <s v="OnePlus Buds 4 TWS Earbuds with Upto 55dB Real-time ANC, Adaptive Mode, Dual Drivers with DACs, 3D Audio, Upto 45hrs Music Playback, ,Dual-Device connectivity, 47ms Low Latency, Zen Green"/>
    <x v="5"/>
    <n v="6099"/>
    <n v="6499"/>
    <n v="6.2E-2"/>
    <n v="4.3"/>
    <n v="2468"/>
    <n v="1"/>
    <b v="0"/>
    <b v="0"/>
    <b v="0"/>
    <b v="0"/>
    <d v="2026-06-05T00:00:00"/>
  </r>
  <r>
    <s v="B0DXPNVSSB"/>
    <s v="boAt Airdopes 101v2, 35H Battery, ENx Tech, 13mm Drivers, ASAP Charge, Flex-Fit Ear Tips,Stream Ad Free Music via App Support, Bluetooth Earbuds, TWS Ear Buds Wireless Earphones with mic (Pitch Black)"/>
    <x v="5"/>
    <n v="795"/>
    <n v="3990"/>
    <n v="0.80100000000000005"/>
    <n v="3.8"/>
    <n v="926"/>
    <n v="5"/>
    <b v="0"/>
    <b v="0"/>
    <b v="0"/>
    <b v="0"/>
    <d v="2026-06-05T00:00:00"/>
  </r>
  <r>
    <s v="B0DFPKVGVC"/>
    <s v="OnePlus Nord Buds 3 Truly Wireless Bluetooth Earbuds with up to 32dB Active Noise Cancellation, 10mins for 11Hours Fast Charging with Up to 43h Music Playback -Melodic White"/>
    <x v="5"/>
    <n v="2599"/>
    <n v="2799"/>
    <n v="7.0999999999999994E-2"/>
    <n v="4.3"/>
    <n v="21134"/>
    <n v="1"/>
    <b v="0"/>
    <b v="0"/>
    <b v="0"/>
    <b v="0"/>
    <d v="2026-06-05T00:00:00"/>
  </r>
  <r>
    <s v="B0DZXTVL6V"/>
    <s v="Boat Airdopes Plus 311, Glass Design, ENx Tech, Fast Charge, 50 Hrs Battery, Stream Ad Free Music via App Support Bluetooth Earbuds, TWS Ear Buds Wireless Earphones with mic (Charcoal Black)"/>
    <x v="5"/>
    <n v="799"/>
    <n v="3990"/>
    <n v="0.8"/>
    <n v="3.7"/>
    <n v="5979"/>
    <n v="1"/>
    <b v="0"/>
    <b v="0"/>
    <b v="0"/>
    <b v="0"/>
    <d v="2026-06-05T00:00:00"/>
  </r>
  <r>
    <s v="B0DBGNDTY2"/>
    <s v="realme Buds T310 Truly Wireless in Ear Earbuds with 46dB Hybrid ANC, 360Â° Spatial Audio, 12.4mm Dynamic Bass Driver, Upto 40Hrs Battery and Fast Charging (Agile White)"/>
    <x v="5"/>
    <n v="2199"/>
    <n v="3999"/>
    <n v="0.45"/>
    <n v="4.2"/>
    <n v="8652"/>
    <n v="1"/>
    <b v="0"/>
    <b v="0"/>
    <b v="0"/>
    <b v="0"/>
    <d v="2026-06-05T00:00:00"/>
  </r>
  <r>
    <s v="B0FDGVNSLH"/>
    <s v="Samsung Galaxy Buds Core (Black) Galaxy AI Enabled in-Ear TWS with ANC | Enriched Bass | 6 Mic Setup | IP54 | 35hrs Battery | Touch Controls"/>
    <x v="5"/>
    <n v="4399"/>
    <n v="9999"/>
    <n v="0.56000000000000005"/>
    <n v="4"/>
    <n v="2445"/>
    <n v="1"/>
    <b v="0"/>
    <b v="0"/>
    <b v="0"/>
    <b v="0"/>
    <d v="2026-06-05T00:00:00"/>
  </r>
  <r>
    <s v="B0BQN3NW8C"/>
    <s v="GOBOULT Z40 True Wireless in Ear Earbuds with 60H Playtime, Zenâ„¢ ENC Mic, Low Latency Gaming, Type-C Fast Charging, Made in India, 10mm Rich Bass Drivers, IPX5, Ear Buds TWS (White)"/>
    <x v="5"/>
    <n v="999"/>
    <n v="4999"/>
    <n v="0.8"/>
    <n v="3.9"/>
    <n v="36324"/>
    <n v="1"/>
    <b v="0"/>
    <b v="0"/>
    <b v="0"/>
    <b v="0"/>
    <d v="2026-06-05T00:00:00"/>
  </r>
  <r>
    <s v="B0GMJLFCR7"/>
    <s v="Samsung Galaxy Buds4 Pro (Black) in-Ear Wireless Earbuds with Hi-Fi Audio | Adaptive ANC 2.0 and EQ 2.0 | 2-Way Speaker | 360-Audio | Voice Detect | Live Translation | Head Gesture | IP57"/>
    <x v="5"/>
    <n v="22999"/>
    <n v="29999"/>
    <n v="0.23300000000000001"/>
    <n v="4.5999999999999996"/>
    <n v="174"/>
    <n v="1"/>
    <b v="0"/>
    <b v="0"/>
    <b v="0"/>
    <b v="0"/>
    <d v="2026-06-05T00:00:00"/>
  </r>
  <r>
    <s v="B0GDR29F53"/>
    <s v="Portronics Conch Theta C in Ear Type C Wired Earphones with in Line HD Mic, Powerful Audio, 14.2mm Driver, Unique Earbuds Design, TPE Anti Tangle Wire, in line Controls, Wide Compatibility(Orange)"/>
    <x v="5"/>
    <n v="322.54000000000002"/>
    <n v="799"/>
    <n v="0.59599999999999997"/>
    <n v="4.0999999999999996"/>
    <n v="9487"/>
    <n v="1"/>
    <b v="0"/>
    <b v="0"/>
    <b v="0"/>
    <b v="0"/>
    <d v="2026-06-05T00:00:00"/>
  </r>
  <r>
    <s v="B0GDQ28DY5"/>
    <s v="realme Buds Air 8,11mm+6mm Dual Dynamic Bass Drivers,58Hrs Playtime, 55dB ANC,6 Mic ENC, 45ms Low Latency, 360Â° Spatial Audio, Hi-Res LHDC, IP55 Dust &amp;amp; Water Resistant, BT v5.4 (Master Grey)"/>
    <x v="5"/>
    <n v="3599"/>
    <n v="5299"/>
    <n v="0.32100000000000001"/>
    <n v="4.2"/>
    <n v="794"/>
    <n v="1"/>
    <b v="0"/>
    <b v="0"/>
    <b v="0"/>
    <b v="0"/>
    <d v="2026-06-05T00:00:00"/>
  </r>
  <r>
    <s v="B0DS2Y94LS"/>
    <s v="Noise Buds VS102 Plus Wireless Earbuds, Bluetooth Earbuds with 70H Playtime, Quad Mic ENC for Clear Calls, 11mm Drivers, Deep Bass, Instacharge, Bluetooth v5.3 (Matte Black)"/>
    <x v="5"/>
    <n v="1199"/>
    <n v="3999"/>
    <n v="0.7"/>
    <n v="3.6"/>
    <n v="7217"/>
    <n v="1"/>
    <b v="0"/>
    <b v="0"/>
    <b v="0"/>
    <b v="0"/>
    <d v="2026-06-05T00:00:00"/>
  </r>
  <r>
    <s v="B0GQTNXDYM"/>
    <s v="OnePlus Nord Buds 4 Pro TWS Earbuds Upto 55dB Real-time ANC, Adaptive Mode, 12mm Titanium-Coated Driver, Spatial Audio, Upto 54hrs Playback, Dual-Device connectivity, 47ms Low Latency, Radiant Gray"/>
    <x v="5"/>
    <n v="3999"/>
    <m/>
    <m/>
    <n v="4.3"/>
    <n v="655"/>
    <n v="1"/>
    <b v="0"/>
    <b v="0"/>
    <b v="0"/>
    <b v="0"/>
    <d v="2026-06-05T00:00:00"/>
  </r>
  <r>
    <s v="B0DCVLM12X"/>
    <s v="soundcore by Anker R50i VI True Wireless Earbuds, 10mm Drivers with Big Bass, Bluetooth 5.3, 30H Long Playtime, Water-Resistant, 2 Mics for AI Clear Calls, 22 Preset EQs, Customization (White)"/>
    <x v="5"/>
    <n v="929"/>
    <n v="2998"/>
    <n v="0.69"/>
    <n v="4.0999999999999996"/>
    <n v="356"/>
    <n v="1"/>
    <b v="0"/>
    <b v="0"/>
    <b v="0"/>
    <b v="0"/>
    <d v="2026-06-05T00:00:00"/>
  </r>
  <r>
    <s v="B09Y5N4M7Z"/>
    <s v="Noise Buds VS104 Truly Wireless Earbuds with 45H of Playtime, Quad Mic with ENC, Instacharge(10 Min=200 Min), 13Mm Driver, Low Latency, BT V5.2 (Snow White)"/>
    <x v="5"/>
    <n v="1099"/>
    <n v="3499"/>
    <n v="0.68600000000000005"/>
    <n v="3.8"/>
    <n v="30056"/>
    <n v="1"/>
    <b v="0"/>
    <b v="0"/>
    <b v="0"/>
    <b v="0"/>
    <d v="2026-06-05T00:00:00"/>
  </r>
  <r>
    <s v="B0F62JBFBS"/>
    <s v="pTron Bassbuds Spark in-Ear TWS Earbuds with Stereo Sound, 40Hrs Playtime, Stereo Calls, Bluetooth V5.3 Headphones with Quick Pairing, Touch Control, Voice Assistant, Type C Charging &amp;amp; IPX5 (Black)"/>
    <x v="5"/>
    <n v="597"/>
    <n v="1999"/>
    <n v="0.70099999999999996"/>
    <n v="3.9"/>
    <n v="3961"/>
    <n v="1"/>
    <b v="0"/>
    <b v="0"/>
    <b v="0"/>
    <b v="0"/>
    <d v="2026-06-05T00:00:00"/>
  </r>
  <r>
    <s v="B0DRD7G7F5"/>
    <s v="realme Buds Air 7,12.4mm Dynamic Bass Drivers,52Hrs Playtime,52dB Hybrid ANC,6 Mic ENC,45ms Low Latency,360Â° Spatial Audio,Hi-Res LHDC,IP55 Dust &amp;amp; Water Resistant,True Wireless TWS BT v5.4(Moss Green)"/>
    <x v="5"/>
    <n v="2999"/>
    <n v="4999"/>
    <n v="0.4"/>
    <n v="4.3"/>
    <n v="3759"/>
    <n v="1"/>
    <b v="0"/>
    <b v="0"/>
    <b v="0"/>
    <b v="0"/>
    <d v="2026-06-05T00:00:00"/>
  </r>
  <r>
    <s v="B0DHL63KWK"/>
    <s v="JBL Wave Buds 2 Wireless Ear Buds - Black"/>
    <x v="5"/>
    <n v="2499"/>
    <n v="6999"/>
    <n v="0.64300000000000002"/>
    <n v="3.5"/>
    <n v="47730"/>
    <n v="1"/>
    <b v="0"/>
    <b v="0"/>
    <b v="0"/>
    <b v="0"/>
    <d v="2026-06-05T00:00:00"/>
  </r>
  <r>
    <s v="B0FSDYHR92"/>
    <s v="Kratos Cube Ear Buds Wireless with 30H Playtime, Noise Isolation &amp;amp; Clear Calls, Bluetooth Earbuds with Voice Assistant, Ear Buds with Bluetooth V 5.3 &amp;amp; with Type C Fast Charging, IPX4 TWS Earphones"/>
    <x v="5"/>
    <n v="479"/>
    <n v="2999"/>
    <n v="0.84"/>
    <n v="3.5"/>
    <n v="498"/>
    <n v="1"/>
    <b v="0"/>
    <b v="0"/>
    <b v="0"/>
    <b v="0"/>
    <d v="2026-06-05T00:00:00"/>
  </r>
  <r>
    <s v="B0FTFMNYBV"/>
    <s v="Mivi DuoPods Marathon Earbuds Wireless | Fast Charge | 70H Playtime | BT v5.3 | 13mm Drivers | Noise Cancellation | IPX4.0 TWS"/>
    <x v="5"/>
    <n v="999"/>
    <n v="3499"/>
    <n v="0.71399999999999997"/>
    <n v="4.2"/>
    <n v="948"/>
    <n v="1"/>
    <b v="0"/>
    <b v="0"/>
    <b v="0"/>
    <b v="0"/>
    <d v="2026-06-05T00:00:00"/>
  </r>
  <r>
    <s v="B0DH2158PJ"/>
    <s v="Sounce Earphone Case Cover for Boat Airdopes 300 Premium TWS Soft Silicone Skin Case Cover Shock Absorbing Protective Case with Keychain [Front LED Visible] - Black"/>
    <x v="5"/>
    <n v="209"/>
    <n v="499"/>
    <n v="0.58099999999999996"/>
    <n v="3.2"/>
    <n v="669"/>
    <n v="1"/>
    <b v="0"/>
    <b v="0"/>
    <b v="0"/>
    <b v="0"/>
    <d v="2026-06-05T00:00:00"/>
  </r>
  <r>
    <s v="B0GMQLR7JL"/>
    <s v="Earbuds for One Plus 12r/11r/10r/10t/10/10 pro/9/9 pro/8T/8/8pro/7Pro/7T/7TPro/Nord/Ce3 lite Wireless Earbuds (OPBR51)"/>
    <x v="5"/>
    <n v="690"/>
    <n v="1999"/>
    <n v="0.65500000000000003"/>
    <n v="1.7"/>
    <n v="10"/>
    <n v="1"/>
    <b v="0"/>
    <b v="0"/>
    <b v="0"/>
    <b v="0"/>
    <d v="2026-06-05T00:00:00"/>
  </r>
  <r>
    <s v="B0CFYJ8HRS"/>
    <s v="Noise Pure Pods Wireless Open Ear Earbuds with AirWaveâ„¢ Technology,Up-to 80H Playtime,Quad Mic with ENC,16mm Neodymium Dynamic Driver,Detachable Pure Band,BTv5.3 (Power Black)"/>
    <x v="5"/>
    <n v="2999"/>
    <n v="6999"/>
    <n v="0.57199999999999995"/>
    <n v="3.3"/>
    <n v="3571"/>
    <n v="3"/>
    <b v="0"/>
    <b v="0"/>
    <b v="0"/>
    <b v="0"/>
    <d v="2026-06-05T00:00:00"/>
  </r>
  <r>
    <s v="B0GQTSHLLR"/>
    <s v="OnePlus Nord Buds 4 Pro TWS Earbuds, Upto 55dB Real-time ANC, Adaptive Mode, 12mm Titanium-Coated Driver, Spatial Audio, Upto 54hrs Playback, Dual-Device connectivity, 47ms Low Latency, Raven Black"/>
    <x v="5"/>
    <n v="3999"/>
    <m/>
    <m/>
    <n v="4.3"/>
    <n v="655"/>
    <n v="1"/>
    <b v="0"/>
    <b v="0"/>
    <b v="0"/>
    <b v="0"/>
    <d v="2026-06-05T00:00:00"/>
  </r>
  <r>
    <s v="B0D4VN3S8T"/>
    <s v="Boat Nirvana Space, 360Âº Spatial Audio, Active Noise Cancellation (~32dB), 100Hrs Battery,4Mics ENx, Fast Charge, v5.3 Bluetooth Earbuds, TWS Ear Buds Wireless Earphones with mic (Cosmic Black)"/>
    <x v="5"/>
    <n v="1799"/>
    <n v="7999"/>
    <n v="0.77500000000000002"/>
    <n v="4"/>
    <n v="6615"/>
    <n v="1"/>
    <b v="0"/>
    <b v="0"/>
    <b v="0"/>
    <b v="0"/>
    <d v="2026-06-05T00:00:00"/>
  </r>
  <r>
    <s v="B0D3R1LVR3"/>
    <s v="GOBOULT W20 Truly Wireless in Ear Earbuds with 40H Playtime, Zenâ„¢ ENC Mic, 45ms Low Latency, 13mm Bass Drivers, Type-C Fast Charging, Touch Controls, IPX5 Ear Buds TWS (Space Black)"/>
    <x v="5"/>
    <n v="899"/>
    <n v="2499"/>
    <n v="0.64"/>
    <n v="3.9"/>
    <n v="14890"/>
    <n v="1"/>
    <b v="0"/>
    <b v="0"/>
    <b v="0"/>
    <b v="0"/>
    <d v="2026-06-05T00:00:00"/>
  </r>
  <r>
    <s v="B0FCLPQG26"/>
    <s v="Sony WF-C710NSA | Dual Noise Cancellation Wireless Bluetooth in Ear Earbuds | AI Call Quality | 40Hrs Battery W/O ANC | 30Hrs Battery with ANC - Black"/>
    <x v="5"/>
    <n v="6990"/>
    <n v="12990"/>
    <n v="0.46200000000000002"/>
    <n v="3.6"/>
    <n v="1083"/>
    <n v="1"/>
    <b v="0"/>
    <b v="0"/>
    <b v="0"/>
    <b v="0"/>
    <d v="2026-06-05T00:00:00"/>
  </r>
  <r>
    <s v="B0GZSJ3XKW"/>
    <s v="CME Buds 2A Global Version in-Ear Wireless Earphone 12.4mm Driver 42dB ANC 4HD Mics Up to 35.5H Playback IP54 BT 5.4"/>
    <x v="5"/>
    <n v="399"/>
    <n v="1999"/>
    <n v="0.8"/>
    <m/>
    <n v="0"/>
    <n v="1"/>
    <b v="0"/>
    <b v="0"/>
    <b v="0"/>
    <b v="0"/>
    <d v="2026-06-05T00:00:00"/>
  </r>
  <r>
    <s v="B0DBHBZZTN"/>
    <s v="Boat Nirvana Ivy, 50dB Hybrid ANC, 360Âº Spatial Audio, Dynamic Head Tracking,Fast Charge,App Support, 50HRS Battery, v5.3 Bluetooth Earbuds, TWS Ear Buds Wireless Earphones with mic (Quartz Cyan)"/>
    <x v="5"/>
    <n v="3299"/>
    <n v="17990"/>
    <n v="0.81699999999999995"/>
    <n v="3.8"/>
    <n v="1368"/>
    <n v="1"/>
    <b v="0"/>
    <b v="0"/>
    <b v="0"/>
    <b v="0"/>
    <d v="2026-06-05T00:00:00"/>
  </r>
  <r>
    <s v="B0GCNNWM13"/>
    <s v="Noise Buds Mini Truly Wireless Earbuds (2026) | Half in-Ear Design | 40H Playtime | Quad Mic ENC for Clear Calls | 13mm Driver | Low Latency Gaming Mode | BT v5.3 | IPX4 Sweat Resistant - Jet Black"/>
    <x v="5"/>
    <n v="899"/>
    <n v="2999"/>
    <n v="0.7"/>
    <n v="3.9"/>
    <n v="3792"/>
    <n v="1"/>
    <b v="0"/>
    <b v="0"/>
    <b v="0"/>
    <b v="0"/>
    <d v="2026-06-05T00:00:00"/>
  </r>
  <r>
    <s v="B0GF7M1X2N"/>
    <s v="GOBOULT Tenet TWS Earbuds with 75H Playtime, Amp App Support, Quad Mic ENC, Dual Device Pairing Buds, 13mm Driver Ear Buds, Bluetooth 5.4 Wireless Earbuds (Turbo Orange)"/>
    <x v="5"/>
    <n v="1499"/>
    <n v="5499"/>
    <n v="0.72699999999999998"/>
    <n v="4"/>
    <n v="971"/>
    <n v="1"/>
    <b v="0"/>
    <b v="0"/>
    <b v="0"/>
    <b v="0"/>
    <d v="2026-06-05T00:00:00"/>
  </r>
  <r>
    <s v="B0FZ9YLWP1"/>
    <s v="Noise Newly Launched Buds Connect 3 Truly Wireless Earbuds with 40H of Playtime, Quad Mic with ENC, Low Latency, 10mm Driver, BT V5.4(Slate Black)"/>
    <x v="5"/>
    <n v="1499"/>
    <n v="3999"/>
    <n v="0.625"/>
    <n v="4"/>
    <n v="127"/>
    <n v="1"/>
    <b v="0"/>
    <b v="0"/>
    <b v="0"/>
    <b v="0"/>
    <d v="2026-06-05T00:00:00"/>
  </r>
  <r>
    <s v="B0G2S1MZRX"/>
    <s v="Boat 2026 Launch Nirvana Crown, Sonic ARC, LEDs, Haptic Feedback,50dB Hybrid ANC,Spatial Audio, 6 Mic ENx, App Support, v6.0 Bluetooth Earbuds, TWS Ear Buds Wireless Earphones with mic (Blazing Red)"/>
    <x v="5"/>
    <n v="2599"/>
    <n v="9990"/>
    <n v="0.74"/>
    <n v="3.7"/>
    <n v="543"/>
    <n v="1"/>
    <b v="0"/>
    <b v="0"/>
    <b v="0"/>
    <b v="0"/>
    <d v="2026-06-05T00:00:00"/>
  </r>
  <r>
    <s v="B0CQJZD55X"/>
    <s v="Noise Buds N1 Truly Wireless Earbuds with Chrome Finish, 40H of Playtime, Quad Mic with ENC, Ultra Low Latency Gaming (Up to 40 Ms), Instacharge(10 Min=120 Min), Bluetooth V5.3(Ice Blue)"/>
    <x v="5"/>
    <n v="999"/>
    <n v="3499"/>
    <n v="0.71399999999999997"/>
    <n v="3.8"/>
    <n v="15622"/>
    <n v="1"/>
    <b v="0"/>
    <b v="0"/>
    <b v="0"/>
    <b v="0"/>
    <d v="2026-06-05T00:00:00"/>
  </r>
  <r>
    <s v="B0D9K1TSMP"/>
    <s v="Sounce Earphone Case Cover for Boat Airdopes 800 TWS Soft Silicone Skin Case Cover Shock Absorbing Protective Case with Keychain [Front LED Visible] - Black"/>
    <x v="5"/>
    <n v="209"/>
    <n v="499"/>
    <n v="0.58099999999999996"/>
    <n v="4.0999999999999996"/>
    <n v="968"/>
    <n v="1"/>
    <b v="0"/>
    <b v="0"/>
    <b v="0"/>
    <b v="0"/>
    <d v="2026-06-05T00:00:00"/>
  </r>
  <r>
    <s v="B0DN1RPL19"/>
    <s v="GOBOULT Mustang Torq Wireless in Ear Earbuds with 60H Playtime, App Support, Quad Mic ENC, 45ms Low Latency, 13mm Driver, Breathing LEDs, Made in India Ear Buds Wireless (Silver)"/>
    <x v="5"/>
    <n v="1799"/>
    <n v="5999"/>
    <n v="0.7"/>
    <n v="4"/>
    <n v="13588"/>
    <n v="1"/>
    <b v="0"/>
    <b v="0"/>
    <b v="0"/>
    <b v="0"/>
    <d v="2026-06-05T00:00:00"/>
  </r>
  <r>
    <s v="B0FCM61QWL"/>
    <s v="VW 80 cm (32 inches) OptimaX Series HD Ready Smart QLED Android TV VW32AQ1"/>
    <x v="6"/>
    <n v="8999"/>
    <n v="18999"/>
    <n v="0.52600000000000002"/>
    <n v="3.8"/>
    <n v="3015"/>
    <n v="1"/>
    <b v="0"/>
    <b v="0"/>
    <b v="0"/>
    <b v="0"/>
    <d v="2026-06-05T00:00:00"/>
  </r>
  <r>
    <s v="B0GX52LD7V"/>
    <s v="VW 109 cm (43 inches) Spectra Series Full HD Smart QLED Android TV VW43AQ3"/>
    <x v="6"/>
    <n v="14999"/>
    <n v="29999"/>
    <n v="0.5"/>
    <n v="4.2"/>
    <n v="15713"/>
    <n v="1"/>
    <b v="0"/>
    <b v="0"/>
    <b v="0"/>
    <b v="0"/>
    <d v="2026-06-05T00:00:00"/>
  </r>
  <r>
    <s v="B0F3JM1YP5"/>
    <s v="Xiaomi 80 cm (32 inch) F Series HD Ready Smart LED Fire TV L32MB-FIN"/>
    <x v="6"/>
    <n v="12999"/>
    <m/>
    <m/>
    <n v="4.2"/>
    <n v="914"/>
    <n v="1"/>
    <b v="0"/>
    <b v="0"/>
    <b v="0"/>
    <b v="0"/>
    <d v="2026-06-05T00:00:00"/>
  </r>
  <r>
    <s v="B0F84DKX8K"/>
    <s v="Samsung 108 cm (43 inches) FHD Smart LED TV UA43F5550FUXXL"/>
    <x v="6"/>
    <n v="23990"/>
    <n v="27500"/>
    <n v="0.128"/>
    <n v="4.0999999999999996"/>
    <n v="5926"/>
    <n v="1"/>
    <b v="0"/>
    <b v="0"/>
    <b v="1"/>
    <b v="0"/>
    <d v="2026-06-05T00:00:00"/>
  </r>
  <r>
    <s v="B0GJG3GKYD"/>
    <s v="Uniboom_Optima Series 60 cm (24 inch) HD Ready LED TV 2025 Edition with 30W Sonic Boom - True Frameless - Aura Vision+ Display - (Non Smart)- 24N-ULT-AED"/>
    <x v="6"/>
    <n v="5490"/>
    <n v="20990"/>
    <n v="0.73799999999999999"/>
    <n v="4.0999999999999996"/>
    <n v="157"/>
    <n v="1"/>
    <b v="0"/>
    <b v="0"/>
    <b v="0"/>
    <b v="0"/>
    <d v="2026-06-05T00:00:00"/>
  </r>
  <r>
    <s v="B0F222LP9Y"/>
    <s v="Kodak QLED SE 100 cm (40 inch) QLED Full HD Smart Linux TV 2025 Edition (40QSE5009)"/>
    <x v="6"/>
    <n v="13999"/>
    <n v="25999"/>
    <n v="0.46200000000000002"/>
    <n v="3.8"/>
    <n v="3020"/>
    <n v="1"/>
    <b v="0"/>
    <b v="0"/>
    <b v="0"/>
    <b v="0"/>
    <d v="2026-06-05T00:00:00"/>
  </r>
  <r>
    <s v="B0DZHRYFG7"/>
    <s v="TCL 101 cms (40 inches) V5C Series Full HD Smart QLED TV Google TV 40V5C"/>
    <x v="6"/>
    <n v="20990"/>
    <n v="35990"/>
    <n v="0.41699999999999998"/>
    <n v="4"/>
    <n v="2226"/>
    <n v="1"/>
    <b v="0"/>
    <b v="0"/>
    <b v="0"/>
    <b v="0"/>
    <d v="2026-06-05T00:00:00"/>
  </r>
  <r>
    <s v="B0DBZGXXP7"/>
    <s v="Foxsky 139 cm (55 inch) Frameless Series QLED 4K Ultra HD LED Smart TV FS55GATV (Black)"/>
    <x v="6"/>
    <n v="25299"/>
    <n v="98990"/>
    <n v="0.74399999999999999"/>
    <n v="3.6"/>
    <n v="109"/>
    <n v="1"/>
    <b v="0"/>
    <b v="0"/>
    <b v="0"/>
    <b v="0"/>
    <d v="2026-06-05T00:00:00"/>
  </r>
  <r>
    <s v="B0FBW5S6H2"/>
    <s v="Philips 108 cm (43 inches) 6100 Series Frameless Full HD Smart LED Google TV 43PFT6130/94"/>
    <x v="6"/>
    <n v="22999"/>
    <n v="34999"/>
    <n v="0.34300000000000003"/>
    <n v="4.2"/>
    <n v="739"/>
    <n v="1"/>
    <b v="0"/>
    <b v="0"/>
    <b v="0"/>
    <b v="0"/>
    <d v="2026-06-05T00:00:00"/>
  </r>
  <r>
    <s v="B07MNNH484"/>
    <s v="VW 80 cm (32 inches) Frameless Series HD Ready Android Smart LED TV VW32S"/>
    <x v="6"/>
    <n v="8499"/>
    <n v="16999"/>
    <n v="0.5"/>
    <n v="3.6"/>
    <n v="6823"/>
    <n v="1"/>
    <b v="0"/>
    <b v="0"/>
    <b v="0"/>
    <b v="0"/>
    <d v="2026-06-05T00:00:00"/>
  </r>
  <r>
    <s v="B0DFYBF423"/>
    <s v="Blaupunkt 80 cm (32 inches) Quantum Dot Series QLED Google Android TV 32QD7080"/>
    <x v="6"/>
    <n v="10999"/>
    <n v="22999"/>
    <n v="0.52200000000000002"/>
    <n v="3.9"/>
    <n v="1431"/>
    <n v="1"/>
    <b v="0"/>
    <b v="0"/>
    <b v="0"/>
    <b v="0"/>
    <d v="2026-06-05T00:00:00"/>
  </r>
  <r>
    <s v="B0FDQRTXBC"/>
    <s v="Philips 165 cm (65 inches) 8100 Series 4K Ultra HD Smart QLED Google TV 65PQT8100/94"/>
    <x v="6"/>
    <n v="55999"/>
    <n v="64990"/>
    <n v="0.13800000000000001"/>
    <n v="4.2"/>
    <n v="1429"/>
    <n v="1"/>
    <b v="0"/>
    <b v="0"/>
    <b v="0"/>
    <b v="0"/>
    <d v="2026-06-05T00:00:00"/>
  </r>
  <r>
    <s v="B0G2CG8XQX"/>
    <s v="coocaa 164 cm (65 inches) 4K Ultra HD Smart Mini LED QLED Google TV 65MINI75Q"/>
    <x v="6"/>
    <n v="45999"/>
    <n v="79999"/>
    <n v="0.42499999999999999"/>
    <n v="4.3"/>
    <n v="76"/>
    <n v="1"/>
    <b v="0"/>
    <b v="0"/>
    <b v="0"/>
    <b v="0"/>
    <d v="2026-06-05T00:00:00"/>
  </r>
  <r>
    <s v="B0F6ZCRGG5"/>
    <s v="Xiaomi 108 cm (43 inch) A Full HD Smart Google LED TV L43MB-AFIN"/>
    <x v="6"/>
    <n v="21999"/>
    <n v="30999"/>
    <n v="0.28999999999999998"/>
    <n v="4.0999999999999996"/>
    <n v="426"/>
    <n v="1"/>
    <b v="0"/>
    <b v="0"/>
    <b v="0"/>
    <b v="0"/>
    <d v="2026-06-05T00:00:00"/>
  </r>
  <r>
    <s v="B0GJGCNL3B"/>
    <s v="Uniboom_Optima Series102 cm (40 inch)HD Smart LED TV | Android TV with Voice Command App |5000+ Free Movies |30W Sonic Boom Speakers| 500+ Certified Apps |Mobile Remote |Mobile Screen Cast 40S-ULT-AED"/>
    <x v="6"/>
    <m/>
    <m/>
    <m/>
    <n v="4.4000000000000004"/>
    <n v="10"/>
    <n v="1"/>
    <b v="0"/>
    <b v="0"/>
    <b v="0"/>
    <b v="0"/>
    <d v="2026-06-05T00:00:00"/>
  </r>
  <r>
    <s v="B0GQC14DKQ"/>
    <s v="Onida 108 cm (43 inch) QLED Ultra HD 4K Smart Fire TV Q43UFD"/>
    <x v="6"/>
    <n v="24499"/>
    <n v="41490"/>
    <n v="0.41"/>
    <n v="4.5"/>
    <n v="13"/>
    <n v="1"/>
    <b v="0"/>
    <b v="0"/>
    <b v="0"/>
    <b v="0"/>
    <d v="2026-06-05T00:00:00"/>
  </r>
  <r>
    <s v="B0F2J6QCJB"/>
    <s v="TCL 189 cm (75 inches) Metallic Bezel Less Series 4K Ultra HD Smart LED Google TV 75V6C (Black)"/>
    <x v="6"/>
    <n v="66990"/>
    <n v="199990"/>
    <n v="0.66500000000000004"/>
    <n v="4.0999999999999996"/>
    <n v="892"/>
    <n v="1"/>
    <b v="0"/>
    <b v="0"/>
    <b v="0"/>
    <b v="0"/>
    <d v="2026-06-05T00:00:00"/>
  </r>
  <r>
    <s v="B0GK9D99SG"/>
    <s v="VW 127 cm (50 inches) Pro Series 4K Ultra HD Smart QLED Google TV VW50GQ2"/>
    <x v="6"/>
    <n v="25999"/>
    <n v="99999"/>
    <n v="0.74"/>
    <n v="4.4000000000000004"/>
    <n v="331"/>
    <n v="1"/>
    <b v="0"/>
    <b v="0"/>
    <b v="0"/>
    <b v="0"/>
    <d v="2026-06-05T00:00:00"/>
  </r>
  <r>
    <s v="B0DR2Q2R44"/>
    <s v="VW 80 cm (32 inches) Pro Series HD Ready Smart QLED Google TV VW32GQ1"/>
    <x v="6"/>
    <n v="9999"/>
    <n v="22999"/>
    <n v="0.56499999999999995"/>
    <n v="4.0999999999999996"/>
    <n v="1082"/>
    <n v="1"/>
    <b v="0"/>
    <b v="0"/>
    <b v="0"/>
    <b v="0"/>
    <d v="2026-06-05T00:00:00"/>
  </r>
  <r>
    <s v="B0F43CHDSN"/>
    <s v="Samsung 138 cm (55 inches) Vision AI 4K Ultra HD Smart QLED TV QA55QEF1AULXL"/>
    <x v="6"/>
    <n v="43990"/>
    <n v="75500"/>
    <n v="0.41699999999999998"/>
    <n v="4"/>
    <n v="1272"/>
    <n v="1"/>
    <b v="0"/>
    <b v="0"/>
    <b v="0"/>
    <b v="0"/>
    <d v="2026-06-05T00:00:00"/>
  </r>
  <r>
    <s v="B0F437CWLS"/>
    <s v="Samsung 125 cm (50 inches) Crystal 4K Vista Ultra HD Smart LED TV UA50UE81AFULXL"/>
    <x v="6"/>
    <n v="38990"/>
    <n v="50600"/>
    <n v="0.22900000000000001"/>
    <n v="4"/>
    <n v="636"/>
    <n v="1"/>
    <b v="0"/>
    <b v="0"/>
    <b v="0"/>
    <b v="0"/>
    <d v="2026-06-05T00:00:00"/>
  </r>
  <r>
    <s v="B0CVV489CY"/>
    <s v="80 cm (32 inches) Glow Series HD Ready Smart QLED Android TV BAZ32S (Black)"/>
    <x v="6"/>
    <n v="9999"/>
    <n v="55290"/>
    <n v="0.81899999999999995"/>
    <n v="3.3"/>
    <n v="51"/>
    <n v="1"/>
    <b v="0"/>
    <b v="0"/>
    <b v="0"/>
    <b v="0"/>
    <d v="2026-06-05T00:00:00"/>
  </r>
  <r>
    <s v="B0G6LTHMLF"/>
    <s v="Philips 138 cm (55 inches) 4K Ultra HD QLED Smart QD-Mini LED Google TV 55MLED610/94"/>
    <x v="6"/>
    <n v="45999"/>
    <n v="84999"/>
    <n v="0.45900000000000002"/>
    <n v="4.4000000000000004"/>
    <n v="164"/>
    <n v="1"/>
    <b v="0"/>
    <b v="0"/>
    <b v="0"/>
    <b v="0"/>
    <d v="2026-06-05T00:00:00"/>
  </r>
  <r>
    <s v="B0FDW7819M"/>
    <s v="Acer 127 cm (50 inches) Ultra I Series 4K Ultra HD Smart LED Google TV AR50UDGGU2875BD"/>
    <x v="6"/>
    <n v="24999"/>
    <n v="63999"/>
    <n v="0.60899999999999999"/>
    <n v="3.3"/>
    <n v="208"/>
    <n v="1"/>
    <b v="0"/>
    <b v="0"/>
    <b v="0"/>
    <b v="0"/>
    <d v="2026-06-05T00:00:00"/>
  </r>
  <r>
    <s v="B0H116Z7DT"/>
    <s v="24â€INCH HD Ready Android Smart LED TV | WiFi Enabled | Built-in Apps Compatible (YouTube, Netflix, Prime Video) | Screen Mirroring | HDMI, USB Connectivity | Premium Slim &amp;amp; Stylish Design Black"/>
    <x v="6"/>
    <n v="6999"/>
    <n v="12999"/>
    <n v="0.46200000000000002"/>
    <n v="4"/>
    <n v="3"/>
    <n v="1"/>
    <b v="0"/>
    <b v="0"/>
    <b v="0"/>
    <b v="0"/>
    <d v="2026-06-05T00:00:00"/>
  </r>
  <r>
    <s v="B0FBS91DQF"/>
    <s v="Vu 164cm (65 inches) Vibe Series 4K QLED Smart Google TV 65VIBE-DV"/>
    <x v="6"/>
    <n v="49990"/>
    <n v="80000"/>
    <n v="0.375"/>
    <n v="4.3"/>
    <n v="1791"/>
    <n v="1"/>
    <b v="0"/>
    <b v="0"/>
    <b v="0"/>
    <b v="0"/>
    <d v="2026-06-05T00:00:00"/>
  </r>
  <r>
    <s v="B0F38M36TN"/>
    <s v="TCL 139 cm (55 inches) 4K Ultra HD Smart QLED Google TV 55T8C"/>
    <x v="6"/>
    <n v="42990"/>
    <n v="109990"/>
    <n v="0.60899999999999999"/>
    <n v="4.0999999999999996"/>
    <n v="1188"/>
    <n v="1"/>
    <b v="0"/>
    <b v="0"/>
    <b v="0"/>
    <b v="0"/>
    <d v="2026-06-05T00:00:00"/>
  </r>
  <r>
    <s v="B0F6YVKDR2"/>
    <s v="Xiaomi 138 cm (55 inch) X Ultra HD 4K Smart Google LED TV L55MB-AIN"/>
    <x v="6"/>
    <n v="36999"/>
    <n v="48999"/>
    <n v="0.245"/>
    <n v="4.0999999999999996"/>
    <n v="4466"/>
    <n v="1"/>
    <b v="0"/>
    <b v="0"/>
    <b v="0"/>
    <b v="0"/>
    <d v="2026-06-05T00:00:00"/>
  </r>
  <r>
    <s v="B0DH8984MM"/>
    <s v="Vu 139cm (55 inches) Masterpiece Frame Series 4K QLED TV 55MASTERPIECE (Armani Gold)"/>
    <x v="6"/>
    <n v="49990"/>
    <n v="65000"/>
    <n v="0.23100000000000001"/>
    <n v="4.4000000000000004"/>
    <n v="607"/>
    <n v="1"/>
    <b v="0"/>
    <b v="0"/>
    <b v="0"/>
    <b v="0"/>
    <d v="2026-06-05T00:00:00"/>
  </r>
  <r>
    <s v="B0F3HZP9XR"/>
    <s v="TCL 189 cm (75 inches) 4K UHD Smart QD-Mini LED Google TV 75Q6C"/>
    <x v="6"/>
    <n v="99990"/>
    <n v="299990"/>
    <n v="0.66700000000000004"/>
    <n v="4.0999999999999996"/>
    <n v="1318"/>
    <n v="1"/>
    <b v="0"/>
    <b v="0"/>
    <b v="0"/>
    <b v="0"/>
    <d v="2026-06-05T00:00:00"/>
  </r>
  <r>
    <s v="B0C6F23XP1"/>
    <s v="Hisense 305 cm (120 inches) Trichrom ALR Screen Series 4K Ultra HD Smart Laser TV 120L9HE (Black)"/>
    <x v="6"/>
    <n v="499999"/>
    <m/>
    <m/>
    <n v="3.6"/>
    <n v="18"/>
    <n v="1"/>
    <b v="0"/>
    <b v="0"/>
    <b v="0"/>
    <b v="0"/>
    <d v="2026-06-05T00:00:00"/>
  </r>
  <r>
    <s v="B0DZHMX6D3"/>
    <s v="TCL 80 cms (32 inches) V4C Series HD Ready Smart QLED Google TV 32V4C"/>
    <x v="6"/>
    <n v="14990"/>
    <n v="20490"/>
    <n v="0.26800000000000002"/>
    <n v="4.2"/>
    <n v="360"/>
    <n v="1"/>
    <b v="0"/>
    <b v="0"/>
    <b v="0"/>
    <b v="0"/>
    <d v="2026-06-05T00:00:00"/>
  </r>
  <r>
    <s v="B0GTL292WP"/>
    <s v="Xiaomi 165 cm (65 inches) 4K UHD Smart Quantum MagiQ S Mini LED Google TV L65MC-IN"/>
    <x v="6"/>
    <n v="71999"/>
    <n v="119999"/>
    <n v="0.4"/>
    <n v="4.2"/>
    <n v="50"/>
    <n v="1"/>
    <b v="0"/>
    <b v="0"/>
    <b v="0"/>
    <b v="0"/>
    <d v="2026-06-05T00:00:00"/>
  </r>
  <r>
    <s v="B0GTZ8M66Y"/>
    <s v="LG 126 cms (50 inches) NU87 AI Series Nano 4K Ultra HD Smart webOS VA LED TV 50NU870BPLA"/>
    <x v="6"/>
    <n v="39999"/>
    <n v="65990"/>
    <n v="0.39400000000000002"/>
    <n v="4"/>
    <n v="9025"/>
    <n v="1"/>
    <b v="0"/>
    <b v="0"/>
    <b v="0"/>
    <b v="0"/>
    <d v="2026-06-05T00:00:00"/>
  </r>
  <r>
    <s v="B09Y66SYY2"/>
    <s v="Samsung 214 cm (85 inches) 4K Ultra HD Smart QLED TV QA85Q60BAKXXL (Black)"/>
    <x v="6"/>
    <n v="471990"/>
    <n v="691300"/>
    <n v="0.317"/>
    <m/>
    <n v="0"/>
    <n v="1"/>
    <b v="0"/>
    <b v="0"/>
    <b v="0"/>
    <b v="0"/>
    <d v="2026-06-05T00:00:00"/>
  </r>
  <r>
    <s v="B0FG37BH6L"/>
    <s v="Vu 164cm (65 inches) GloQLED Series 4K QLED Smart Google TV 65GLOQLED25"/>
    <x v="6"/>
    <n v="47999"/>
    <n v="70000"/>
    <n v="0.314"/>
    <n v="4.3"/>
    <n v="620"/>
    <n v="1"/>
    <b v="0"/>
    <b v="0"/>
    <b v="0"/>
    <b v="0"/>
    <d v="2026-06-05T00:00:00"/>
  </r>
  <r>
    <s v="B0FBM79V24"/>
    <s v="Onida 80 cm (32 inch) Smart Genius Series HD Ready Smart LED TV 32AHI"/>
    <x v="6"/>
    <n v="10499"/>
    <n v="19990"/>
    <n v="0.47499999999999998"/>
    <n v="3.4"/>
    <n v="145"/>
    <n v="1"/>
    <b v="0"/>
    <b v="0"/>
    <b v="0"/>
    <b v="0"/>
    <d v="2026-06-05T00:00:00"/>
  </r>
  <r>
    <s v="B0F3JL3MSL"/>
    <s v="TCL 248 cm (98 inches) 4K Ultra HD Smart QLED Google TV 98P8K"/>
    <x v="6"/>
    <n v="229990"/>
    <n v="699990"/>
    <n v="0.67100000000000004"/>
    <n v="5"/>
    <n v="1"/>
    <n v="1"/>
    <b v="0"/>
    <b v="0"/>
    <b v="0"/>
    <b v="0"/>
    <d v="2026-06-05T00:00:00"/>
  </r>
  <r>
    <s v="B0FB35J4B6"/>
    <s v="LG 126 cm (50 inches) UA82 AI Series 4K Ultra HD (3840 x 2160) Smart webOS LED TV 50UA82006LA"/>
    <x v="6"/>
    <m/>
    <m/>
    <m/>
    <n v="4"/>
    <n v="9025"/>
    <n v="1"/>
    <b v="0"/>
    <b v="0"/>
    <b v="0"/>
    <b v="0"/>
    <d v="2026-06-05T00:00:00"/>
  </r>
  <r>
    <s v="B0DS18SHTL"/>
    <s v="JVC 190 cm (75 inches) AI Vision Series QLED Google TV LT-75NQ7165C (Black)"/>
    <x v="6"/>
    <n v="90499"/>
    <n v="119999"/>
    <n v="0.246"/>
    <n v="3.5"/>
    <n v="334"/>
    <n v="1"/>
    <b v="0"/>
    <b v="0"/>
    <b v="0"/>
    <b v="0"/>
    <d v="2026-06-05T00:00:00"/>
  </r>
  <r>
    <s v="B0GY3TLT1X"/>
    <s v="Sony 215 cm (85 inches) BRAVIA 3II Ultra HD Smart LED Google TV K-85XR35M"/>
    <x v="6"/>
    <n v="294490"/>
    <n v="499900"/>
    <n v="0.41099999999999998"/>
    <m/>
    <n v="0"/>
    <n v="1"/>
    <b v="0"/>
    <b v="0"/>
    <b v="0"/>
    <b v="0"/>
    <d v="2026-06-05T00:00:00"/>
  </r>
  <r>
    <s v="B0F7X88XC1"/>
    <s v="Sony 189 cm (75 inches) BRAVIA 2M2 Series 4K Ultra HD Smart LED Google TV K-75S25BM2"/>
    <x v="6"/>
    <n v="123990"/>
    <n v="239900"/>
    <n v="0.48299999999999998"/>
    <n v="4.5999999999999996"/>
    <n v="1351"/>
    <n v="1"/>
    <b v="0"/>
    <b v="0"/>
    <b v="0"/>
    <b v="0"/>
    <d v="2026-06-05T00:00:00"/>
  </r>
  <r>
    <s v="B0GK9NHCL2"/>
    <s v="VW 165 cm (65 inches) Pro Series 4K Ultra HD Smart QLED Google TV VW65GQ2"/>
    <x v="6"/>
    <n v="40999"/>
    <n v="149999"/>
    <n v="0.72699999999999998"/>
    <n v="1"/>
    <n v="1"/>
    <n v="1"/>
    <b v="0"/>
    <b v="0"/>
    <b v="0"/>
    <b v="0"/>
    <d v="2026-06-05T00:00:00"/>
  </r>
  <r>
    <s v="B09Y65HV6N"/>
    <s v="Samsung 214 cm (85 inches) 4K Ultra HD Smart Neo QLED TV QA85QN90BAKXXL (Titan Black)"/>
    <x v="6"/>
    <n v="471990"/>
    <n v="879900"/>
    <n v="0.46400000000000002"/>
    <n v="3.6"/>
    <n v="36"/>
    <n v="1"/>
    <b v="0"/>
    <b v="0"/>
    <b v="0"/>
    <b v="0"/>
    <d v="2026-06-05T00:00:00"/>
  </r>
  <r>
    <s v="B0FWK7W9L7"/>
    <s v="coocaa 138 cm (55 inch) Frameless UHD 4K Smart Google TV 55Y74"/>
    <x v="6"/>
    <m/>
    <m/>
    <m/>
    <n v="4.5999999999999996"/>
    <n v="52"/>
    <n v="1"/>
    <b v="0"/>
    <b v="0"/>
    <b v="0"/>
    <b v="0"/>
    <d v="2026-06-05T00:00:00"/>
  </r>
  <r>
    <s v="B0F397D2S6"/>
    <s v="Lumio Vision 7 127 cm (50 inches) 4K Ultra-HD Smart QLED Google TV FTW2-ADSG"/>
    <x v="6"/>
    <n v="32999"/>
    <n v="58999"/>
    <n v="0.441"/>
    <n v="4.2"/>
    <n v="1354"/>
    <n v="1"/>
    <b v="0"/>
    <b v="0"/>
    <b v="0"/>
    <b v="0"/>
    <d v="2026-06-05T00:00:00"/>
  </r>
  <r>
    <s v="B0GKP162R2"/>
    <s v="LG 217 cm (86 Inches) Nano 85A Series 4K UHD Smart TV 86NANO85A6A"/>
    <x v="6"/>
    <n v="179990"/>
    <n v="399990"/>
    <n v="0.55000000000000004"/>
    <n v="1"/>
    <n v="1"/>
    <n v="1"/>
    <b v="0"/>
    <b v="0"/>
    <b v="0"/>
    <b v="0"/>
    <d v="2026-06-05T00:00:00"/>
  </r>
  <r>
    <s v="B0G6FBF6P6"/>
    <s v="Haier 80cm (32) W4G Series HD Ready Smart Google TV 32W4G"/>
    <x v="6"/>
    <n v="15499"/>
    <n v="19990"/>
    <n v="0.22500000000000001"/>
    <n v="5"/>
    <n v="1"/>
    <n v="1"/>
    <b v="0"/>
    <b v="0"/>
    <b v="0"/>
    <b v="0"/>
    <d v="2026-06-05T00:00:00"/>
  </r>
  <r>
    <s v="B0GP77PM6B"/>
    <s v="Haier 165 L 1 Star Direct Cool Single Door Refrigerator with Diamond Edge Freezing Technology, Easy Clean Back, Large Vegetable Box (HED-171MSA-P, Moon Silver, 2026 Model)"/>
    <x v="7"/>
    <n v="11490"/>
    <n v="16590"/>
    <n v="0.307"/>
    <n v="3.9"/>
    <n v="150"/>
    <n v="1"/>
    <b v="0"/>
    <b v="0"/>
    <b v="0"/>
    <b v="0"/>
    <d v="2026-06-05T00:00:00"/>
  </r>
  <r>
    <s v="B0GGQLB35C"/>
    <s v="Whirlpool 184 L 2 Star Direct-Cool Single Door Refrigerator (205 WDE CLS 2S SAPPHIRE BLUE-Y, Blue, 2026 Model)"/>
    <x v="7"/>
    <n v="13640"/>
    <n v="17750"/>
    <n v="0.23200000000000001"/>
    <n v="3.8"/>
    <n v="104"/>
    <n v="1"/>
    <b v="0"/>
    <b v="0"/>
    <b v="0"/>
    <b v="0"/>
    <d v="2026-06-05T00:00:00"/>
  </r>
  <r>
    <s v="B0GXJ9LTJ1"/>
    <s v="Godrej 180 L 2 Star| 5 Years Comprehensive Warranty | Toughened Glass Shelves | Single Door Refrigerator (2026 Model, RD EDGE 205BN THF PP BL, Pep Blue)"/>
    <x v="7"/>
    <n v="13190"/>
    <n v="17500"/>
    <n v="0.246"/>
    <n v="4.0999999999999996"/>
    <n v="6"/>
    <n v="1"/>
    <b v="0"/>
    <b v="0"/>
    <b v="0"/>
    <b v="0"/>
    <d v="2026-06-05T00:00:00"/>
  </r>
  <r>
    <s v="B0GSQ8N5LZ"/>
    <s v="Voltas Beko, A Tata Product 183 L, 2-Star Single Door Direct Cool Refrigerator with Fresh Box Technology (RDC215C / 2S0XER0M0000GO, Hairline Blue)"/>
    <x v="7"/>
    <n v="12710"/>
    <n v="27990"/>
    <n v="0.54600000000000004"/>
    <n v="4.2"/>
    <n v="178"/>
    <n v="1"/>
    <b v="0"/>
    <b v="0"/>
    <b v="0"/>
    <b v="0"/>
    <d v="2026-06-05T00:00:00"/>
  </r>
  <r>
    <s v="B0G8JTHH46"/>
    <s v="Samsung 189 L, 5 Star, Digital Inverter, Direct-Cool Single Door Refrigerator (RR21H2H25RZ/HL, Midnight Blossom Red, Base Stand Drawer, Single Touch Defrost, 2026 Model)"/>
    <x v="7"/>
    <n v="18990"/>
    <n v="23999"/>
    <n v="0.20899999999999999"/>
    <n v="4.2"/>
    <n v="1120"/>
    <n v="1"/>
    <b v="0"/>
    <b v="0"/>
    <b v="1"/>
    <b v="0"/>
    <d v="2026-06-05T00:00:00"/>
  </r>
  <r>
    <s v="B0G8J8SKTH"/>
    <s v="Samsung 189 L, 5 Star, Digital Inverter, Direct-Cool Single Door Refrigerator (RR21H2H25CU/HL, Camellia Blue, Base Stand Drawer, Single Touch Defrost, 2026 Model)"/>
    <x v="7"/>
    <n v="18990"/>
    <n v="23999"/>
    <n v="0.20899999999999999"/>
    <n v="4.3"/>
    <n v="1803"/>
    <n v="1"/>
    <b v="0"/>
    <b v="0"/>
    <b v="0"/>
    <b v="0"/>
    <d v="2026-06-05T00:00:00"/>
  </r>
  <r>
    <s v="B0GP6ZGNWT"/>
    <s v="Haier 190 L 4 Star Direct Cool Single Door Refrigerator with Fast Ice Making, Easy Clean Back, Large Vegetable Box (HED-204TMIBA-N, Marine Ivy, Base Stand Drawer, 2026 Model)"/>
    <x v="7"/>
    <n v="15990"/>
    <n v="25590"/>
    <n v="0.375"/>
    <n v="4"/>
    <n v="69"/>
    <n v="1"/>
    <b v="0"/>
    <b v="0"/>
    <b v="0"/>
    <b v="0"/>
    <d v="2026-06-05T00:00:00"/>
  </r>
  <r>
    <s v="B0GSFN886B"/>
    <s v="Godrej 185 L 4 Star Rating| 5 Years Comprehensive Warranty | Toughened Glass Shelves | 24 Day Farm Freshness| Jumbo Vegetable Tray | Single Door Refrigerator (RD 195DN TAI MN BL, Marine Blue)"/>
    <x v="7"/>
    <n v="15690"/>
    <n v="52190"/>
    <n v="0.69899999999999995"/>
    <n v="4.0999999999999996"/>
    <n v="295"/>
    <n v="1"/>
    <b v="0"/>
    <b v="0"/>
    <b v="0"/>
    <b v="0"/>
    <d v="2026-06-05T00:00:00"/>
  </r>
  <r>
    <s v="B0G8JR8VNZ"/>
    <s v="Samsung 183 L, 4 Star, Digital Inverter, Direct-Cool Single Door Refrigerator (RR20H28249U/NL, Paradise Bloom Blue, Base Stand Drawer, Single Touch Defrost, 2026 Model)"/>
    <x v="7"/>
    <n v="17590"/>
    <n v="21999"/>
    <n v="0.2"/>
    <n v="4.3"/>
    <n v="4470"/>
    <n v="1"/>
    <b v="0"/>
    <b v="0"/>
    <b v="0"/>
    <b v="0"/>
    <d v="2026-06-05T00:00:00"/>
  </r>
  <r>
    <s v="B0GS5R57KY"/>
    <s v="Godrej 183 L 3 Star 5 Years Comprehensive New Launch | Toughened Glass Shelves | 24 Day Farm Freshness | Jumbo Vegetable Tray | Single Door Refrigerator (RD R190CN THF FR BL, Floral Blue)"/>
    <x v="7"/>
    <n v="14490"/>
    <n v="22090"/>
    <n v="0.34399999999999997"/>
    <n v="3.6"/>
    <n v="44"/>
    <n v="1"/>
    <b v="0"/>
    <b v="0"/>
    <b v="0"/>
    <b v="0"/>
    <d v="2026-06-05T00:00:00"/>
  </r>
  <r>
    <s v="B0GP6PFXPS"/>
    <s v="Haier 100 L 2 Star Direct Cool Single Door Mini Bar Refrigerator with Chiller Freezer Box, LED Light for Clear View, Lock &amp;amp; Key and Easy Clean Back (HRD-1252KSA, Black Steel, 2026 Model)"/>
    <x v="7"/>
    <n v="10490"/>
    <m/>
    <m/>
    <n v="3.9"/>
    <n v="451"/>
    <n v="2"/>
    <b v="0"/>
    <b v="0"/>
    <b v="0"/>
    <b v="0"/>
    <d v="2026-06-05T00:00:00"/>
  </r>
  <r>
    <s v="B0G8JHZJJQ"/>
    <s v="Samsung 183 L, 4 Star, Digital Inverter, Direct-Cool Single Door Refrigerator (RR20H27249R/NL, Paradise Bloom Purple, Single Touch Defrost, 2026 Model)"/>
    <x v="7"/>
    <n v="16790"/>
    <n v="20999"/>
    <n v="0.2"/>
    <n v="4.0999999999999996"/>
    <n v="436"/>
    <n v="1"/>
    <b v="0"/>
    <b v="0"/>
    <b v="0"/>
    <b v="0"/>
    <d v="2026-06-05T00:00:00"/>
  </r>
  <r>
    <s v="B0DK9DSC82"/>
    <s v="Voltas Beko, A Tata Product 472 L Side by Side Frost Free Refrigerator with ProSmart Inverter Compressor (RSB495/FPV300RXID, INOX steel, Electronic Temperature Control and Display)"/>
    <x v="7"/>
    <n v="49990"/>
    <n v="84490"/>
    <n v="0.40799999999999997"/>
    <n v="4.0999999999999996"/>
    <n v="111"/>
    <n v="1"/>
    <b v="0"/>
    <b v="0"/>
    <b v="0"/>
    <b v="0"/>
    <d v="2026-06-05T00:00:00"/>
  </r>
  <r>
    <s v="B0G8JL17DP"/>
    <s v="Samsung 189 L, 5 Star, Digital Inverter, Direct-Cool Single Door Refrigerator (RR21H2H25WB/HL, Wild Lily Blue, Base Stand Drawer, Single Touch Defrost, 2026 Model)"/>
    <x v="7"/>
    <n v="18990"/>
    <n v="23999"/>
    <n v="0.20899999999999999"/>
    <n v="4.4000000000000004"/>
    <n v="2342"/>
    <n v="1"/>
    <b v="0"/>
    <b v="0"/>
    <b v="0"/>
    <b v="0"/>
    <d v="2026-06-05T00:00:00"/>
  </r>
  <r>
    <s v="B0GP6PSRT2"/>
    <s v="Haier 190 L 5 Star Direct Cool Inverter Single Door Refrigerator with Fast Ice Making, Easy Clean Back, Large Vegetable Box (HED-205DSA-P, Dazzle Steel, 2026 Model)"/>
    <x v="7"/>
    <n v="15990"/>
    <n v="25790"/>
    <n v="0.38"/>
    <n v="4"/>
    <n v="2525"/>
    <n v="1"/>
    <b v="0"/>
    <b v="0"/>
    <b v="0"/>
    <b v="0"/>
    <d v="2026-06-05T00:00:00"/>
  </r>
  <r>
    <s v="B0D222PDZ3"/>
    <s v="Whirlpool 235 L Frost Free Triple-Door Refrigerator | Zeolite Technology | Microblock Technology(FP 253D PROTTON ROY RADIANT STEEL(Z), Up to 44% Reduction in Cold Air Loss*]"/>
    <x v="7"/>
    <n v="29390"/>
    <n v="36000"/>
    <n v="0.184"/>
    <n v="3.9"/>
    <n v="11824"/>
    <n v="2"/>
    <b v="0"/>
    <b v="0"/>
    <b v="0"/>
    <b v="0"/>
    <d v="2026-06-05T00:00:00"/>
  </r>
  <r>
    <s v="B0GS1X1ZVD"/>
    <s v="Haier 190 L 5 Star Direct Cool Inverter Single Door Refrigerator with Fast Ice Making, Easy Clean Back, Large Vegetable Box (HED-205TMIBA-N, Marine Ivy, Base Stand Drawer, 2026 Model)"/>
    <x v="7"/>
    <n v="17190"/>
    <n v="27290"/>
    <n v="0.37"/>
    <n v="4.0999999999999996"/>
    <n v="707"/>
    <n v="1"/>
    <b v="0"/>
    <b v="0"/>
    <b v="0"/>
    <b v="0"/>
    <d v="2026-06-05T00:00:00"/>
  </r>
  <r>
    <s v="B0GGQR1722"/>
    <s v="Whirlpool 192 L 4 Star Icemagic Powercool Direct-Cool Single Door Refrigerator with Base Drawer (215 IMPC ROY 4S SAPPHIRE PEONY-Y, Blue, 2026 Model)"/>
    <x v="7"/>
    <n v="17590"/>
    <n v="21750"/>
    <n v="0.191"/>
    <n v="3.9"/>
    <n v="50"/>
    <n v="1"/>
    <b v="0"/>
    <b v="0"/>
    <b v="0"/>
    <b v="0"/>
    <d v="2026-06-05T00:00:00"/>
  </r>
  <r>
    <s v="B0CW5WNPTM"/>
    <s v="Haier 185L 2 Star Direct Cool Single Door Refrigerator | Toughened Glass Shelves | Large Veg Box | Fast Ice Making | Longer Cooling Retention | Easy Clean Back (HED-19TMS-N, Moon Silver)"/>
    <x v="7"/>
    <n v="11990"/>
    <m/>
    <m/>
    <n v="4.3"/>
    <n v="957"/>
    <n v="1"/>
    <b v="0"/>
    <b v="0"/>
    <b v="0"/>
    <b v="0"/>
    <d v="2026-06-05T00:00:00"/>
  </r>
  <r>
    <s v="B0GW2Q1JV7"/>
    <s v="IFB 206L 5 Star Advanced Inverter Direct-Cool Single Door Refrigerator with 30 Hrs Cooling Retention, Big Vegetable Box, 4 Year Super Warranty &amp;amp; Base Stand (2026, IFBDC-232EYBPED, Paradise Dream Blue)"/>
    <x v="7"/>
    <n v="20790"/>
    <n v="29300"/>
    <n v="0.28999999999999998"/>
    <n v="4.2"/>
    <n v="478"/>
    <n v="1"/>
    <b v="0"/>
    <b v="0"/>
    <b v="0"/>
    <b v="0"/>
    <d v="2026-06-05T00:00:00"/>
  </r>
  <r>
    <s v="B0GGPD93C1"/>
    <s v="Whirlpool 192 L 3 Star Vitamagic PRO Frost Free Direct-Cool Single Door Refrigerator (215 VMPRO PRM 3S RADIANT STEEL-Y, Silver, Auto Defrost Technology, 2026 Model)"/>
    <x v="7"/>
    <n v="17950"/>
    <n v="21050"/>
    <n v="0.14699999999999999"/>
    <n v="4"/>
    <n v="2191"/>
    <n v="1"/>
    <b v="0"/>
    <b v="0"/>
    <b v="0"/>
    <b v="0"/>
    <d v="2026-06-05T00:00:00"/>
  </r>
  <r>
    <s v="B0GRCY68XY"/>
    <s v="LG 185 L, 4 Star, Smart Inverter, Direct Cool Single Door Refrigerator (GLD1945ZOSE, Scarlet Euphoria, Base stand with Drawer)"/>
    <x v="7"/>
    <n v="16990"/>
    <n v="24490"/>
    <n v="0.30599999999999999"/>
    <n v="3.8"/>
    <n v="290"/>
    <n v="1"/>
    <b v="0"/>
    <b v="0"/>
    <b v="0"/>
    <b v="0"/>
    <d v="2026-06-05T00:00:00"/>
  </r>
  <r>
    <s v="B0GWF11XZW"/>
    <s v="IFB 187L 4 Star Advanced Inverter Direct-Cool Single Door Refrigerator with 30 Hrs Cooling Retention, Big Vegetable Box, 4 Year Super Warranty &amp;amp; Base Stand (2026, IFBDC-213DYBPED,Paradise Dream Blue)"/>
    <x v="7"/>
    <n v="17690"/>
    <n v="24500"/>
    <n v="0.27800000000000002"/>
    <m/>
    <n v="0"/>
    <n v="1"/>
    <b v="0"/>
    <b v="0"/>
    <b v="0"/>
    <b v="0"/>
    <d v="2026-06-05T00:00:00"/>
  </r>
  <r>
    <s v="B0G8JZHV2S"/>
    <s v="Samsung 330 L, 3 Star, Convertible 5-in-1, Digital Inverter, Frost Free Double Door, WiFi Bespoke AI Refrigerator (RT34HG5A23BXHL, Luxe Black, 2026 Model)"/>
    <x v="7"/>
    <n v="43990"/>
    <n v="51999"/>
    <n v="0.154"/>
    <n v="4"/>
    <n v="34"/>
    <n v="1"/>
    <b v="0"/>
    <b v="0"/>
    <b v="0"/>
    <b v="0"/>
    <d v="2026-06-05T00:00:00"/>
  </r>
  <r>
    <s v="B0G8JRG8LT"/>
    <s v="Samsung 236 L, 3 Star, Convertible, Digital Inverter Frost Free Double Door Refrigerator (RT40H28U3THL, Silver, Refined Inox, 2026 Model)"/>
    <x v="7"/>
    <n v="28990"/>
    <n v="35999"/>
    <n v="0.19500000000000001"/>
    <n v="3.7"/>
    <n v="137"/>
    <n v="1"/>
    <b v="0"/>
    <b v="0"/>
    <b v="0"/>
    <b v="0"/>
    <d v="2026-06-05T00:00:00"/>
  </r>
  <r>
    <s v="B0G8JXNCB1"/>
    <s v="Samsung 189 L, 4 Star, Digital Inverter, Direct-Cool Single Door Refrigerator (RR21H2G24S8/HL, Silver, Elegant Inox, Single Touch Defrost, 2026 Model)"/>
    <x v="7"/>
    <n v="16890"/>
    <m/>
    <m/>
    <n v="4.0999999999999996"/>
    <n v="658"/>
    <n v="1"/>
    <b v="0"/>
    <b v="0"/>
    <b v="0"/>
    <b v="0"/>
    <d v="2026-06-05T00:00:00"/>
  </r>
  <r>
    <s v="B0GW2YHFCX"/>
    <s v="IFB 197L 5 Star Advanced Inverter Direct-Cool Single Door Refrigerator with 30 Hrs Cooling Retention, XL Bottle Bin, Big Vegetable Box &amp;amp; 4 Year Super Warranty (2026, IFBDC-223EYBSE, Brush Grey)"/>
    <x v="7"/>
    <n v="17990"/>
    <n v="24700"/>
    <n v="0.27200000000000002"/>
    <n v="4.2"/>
    <n v="1372"/>
    <n v="1"/>
    <b v="0"/>
    <b v="0"/>
    <b v="0"/>
    <b v="0"/>
    <d v="2026-06-05T00:00:00"/>
  </r>
  <r>
    <s v="B0GK7YXSK1"/>
    <s v="Godrej 223L 2 Star 5 Years Comprehensive New Launch | 95%+ Food Surface Disinfection Uniform 360Â° Cooling Inverter Frost Free Double Door Refrigerator (RF EON 244BN RI STEEL GLOW Steel Glow)"/>
    <x v="7"/>
    <n v="22740"/>
    <m/>
    <m/>
    <n v="4"/>
    <n v="91"/>
    <n v="2"/>
    <b v="0"/>
    <b v="0"/>
    <b v="0"/>
    <b v="0"/>
    <d v="2026-06-05T00:00:00"/>
  </r>
  <r>
    <s v="B0GL7M6KT4"/>
    <s v="LG 43 L 3 Star Direct Cool Minibar Single Door Refrigerator (GLD0536VRSW, Super White)"/>
    <x v="7"/>
    <n v="11990"/>
    <n v="12990"/>
    <n v="7.6999999999999999E-2"/>
    <n v="4.4000000000000004"/>
    <n v="13"/>
    <n v="1"/>
    <b v="0"/>
    <b v="0"/>
    <b v="0"/>
    <b v="0"/>
    <d v="2026-06-05T00:00:00"/>
  </r>
  <r>
    <s v="B0GRW157R2"/>
    <s v="LG 185 L, 5 Star, Smart Inverter, Direct Cool Single Door Refrigerator (GLD1956ZAPI, Purple Ilan, Fit Max Chiller Tray, Base stand with Drawer &amp;amp; Runs on Home Inverter)"/>
    <x v="7"/>
    <n v="18490"/>
    <n v="26290"/>
    <n v="0.29699999999999999"/>
    <n v="3.7"/>
    <n v="13"/>
    <n v="1"/>
    <b v="0"/>
    <b v="0"/>
    <b v="0"/>
    <b v="0"/>
    <d v="2026-06-05T00:00:00"/>
  </r>
  <r>
    <s v="B0GP6T4T83"/>
    <s v="Haier 240 L 2 Star Frost Free Twin Inverter Double Door Refrigerator with Cool Pad for Extended Freezer Cooling &amp;amp; Spacious Fresh Zone (HEF-252EGSA-P, Moon Silver, 2026 Model)"/>
    <x v="7"/>
    <n v="23090"/>
    <n v="35890"/>
    <n v="0.35699999999999998"/>
    <n v="3.2"/>
    <n v="37"/>
    <n v="1"/>
    <b v="0"/>
    <b v="0"/>
    <b v="0"/>
    <b v="0"/>
    <d v="2026-06-05T00:00:00"/>
  </r>
  <r>
    <s v="B0G8JSRB87"/>
    <s v="Samsung 189 L, 5 Star, Digital Inverter, Direct-Cool Single Door Refrigerator (RR21H2H25UZ/HL, Midnight Blossom Blue, Base Stand Drawer, Single Touch Defrost, 2026 Model)"/>
    <x v="7"/>
    <n v="18990"/>
    <n v="23999"/>
    <n v="0.20899999999999999"/>
    <n v="4.2"/>
    <n v="1120"/>
    <n v="1"/>
    <b v="0"/>
    <b v="0"/>
    <b v="0"/>
    <b v="0"/>
    <d v="2026-06-05T00:00:00"/>
  </r>
  <r>
    <s v="B0GPCZBHPH"/>
    <s v="LG 251 L, 1 Star, Frost-Free Smart Inverter Double Door Refrigerator with Smart Mode (GLT2516WWPZ, Shiny Steel, Multi Air Flow Cooling with Max Fresh Zone, 2026 Model)"/>
    <x v="7"/>
    <n v="25990"/>
    <n v="36990"/>
    <n v="0.29699999999999999"/>
    <n v="3.9"/>
    <n v="26"/>
    <n v="1"/>
    <b v="0"/>
    <b v="0"/>
    <b v="0"/>
    <b v="0"/>
    <d v="2026-06-05T00:00:00"/>
  </r>
  <r>
    <s v="B0GL2M7N7Z"/>
    <s v="Godrej 185 L 5 Star 5 Years Comprehensive Warrant |Turbo Cooling Technology| Toughened Glass Shelves | Direct Cool Single Door Refrigerator (2026 Model, RD 195EN TAI MY WN, Mystic Wine)"/>
    <x v="7"/>
    <n v="16990"/>
    <n v="26490"/>
    <n v="0.35899999999999999"/>
    <n v="4.0999999999999996"/>
    <n v="2290"/>
    <n v="1"/>
    <b v="0"/>
    <b v="0"/>
    <b v="0"/>
    <b v="0"/>
    <d v="2026-06-05T00:00:00"/>
  </r>
  <r>
    <s v="B092QNXXNH"/>
    <s v="TOSHIBA 650 L Frost Free Inverter 4-Door Refrigerator (GR-RF646WE-PGI, Classy Blue Glass Door Finish, Futuristic Plasma + Pure Technology) (GR-RF646WE-PGI(24))"/>
    <x v="7"/>
    <n v="134890"/>
    <n v="149990"/>
    <n v="0.10100000000000001"/>
    <n v="3.6"/>
    <n v="13"/>
    <n v="1"/>
    <b v="0"/>
    <b v="0"/>
    <b v="0"/>
    <b v="0"/>
    <d v="2026-06-05T00:00:00"/>
  </r>
  <r>
    <s v="B0F4WVW7D9"/>
    <s v="Midea 560 L Side by Side Refrigerator, Inverter Compressor, Multi Air Flow Cooling, Water Dispenser (Frost Free, Energy Efficient, Large Capacity, Bru-Steel Finish)"/>
    <x v="7"/>
    <n v="44999"/>
    <n v="110990"/>
    <n v="0.59499999999999997"/>
    <n v="4.0999999999999996"/>
    <n v="415"/>
    <n v="1"/>
    <b v="0"/>
    <b v="0"/>
    <b v="0"/>
    <b v="0"/>
    <d v="2026-06-05T00:00:00"/>
  </r>
  <r>
    <s v="B0GXJKFPSF"/>
    <s v="Godrej 185 L 4 Star Single Door Refrigerator with Turbo Cooling Technology, Toughened Glass Shelves &amp;amp; 5 Years Warranty (RD 195DN TAI MY BL, Mystic Blue)"/>
    <x v="7"/>
    <n v="15690"/>
    <n v="24490"/>
    <n v="0.35899999999999999"/>
    <n v="5"/>
    <n v="1"/>
    <n v="1"/>
    <b v="0"/>
    <b v="0"/>
    <b v="0"/>
    <b v="0"/>
    <d v="2026-06-05T00:00:00"/>
  </r>
  <r>
    <s v="B0G8JJD3CM"/>
    <s v="Samsung 223 L, 3 Star, Digital Inverter, Direct-Cool Single Door Refrigerator (RR24H2823UZ/NL, Midnight Blossom Blue, Base Stand Drawer, Single Touch Defrost, 2026 Model)"/>
    <x v="7"/>
    <n v="20490"/>
    <n v="25999"/>
    <n v="0.21199999999999999"/>
    <n v="3.7"/>
    <n v="30"/>
    <n v="1"/>
    <b v="0"/>
    <b v="0"/>
    <b v="0"/>
    <b v="0"/>
    <d v="2026-06-05T00:00:00"/>
  </r>
  <r>
    <s v="B0DFCVM72W"/>
    <s v="Samsung 396 L, 3 Star, Convertible 5-in-1, Digital Inverter, Frost Free Double Door, Bespoke AI WiFi Enabled Refrigerator (RT41DG6A4DB1HL, Black Matte/Black DOI)"/>
    <x v="7"/>
    <n v="45099"/>
    <m/>
    <m/>
    <n v="4.0999999999999996"/>
    <n v="1193"/>
    <n v="3"/>
    <b v="0"/>
    <b v="0"/>
    <b v="0"/>
    <b v="0"/>
    <d v="2026-06-05T00:00:00"/>
  </r>
  <r>
    <s v="B0G4S5HZ9R"/>
    <s v="SHARP 50L 2 Star Mini Direct Cool Single Door Refrigerator |Japan 7 Shield Protection|Toughened Glass shelves (Metal Silver, SJ-MRW055N3-PSS)"/>
    <x v="7"/>
    <n v="9490"/>
    <n v="10500"/>
    <n v="9.6000000000000002E-2"/>
    <n v="4.0999999999999996"/>
    <n v="136"/>
    <n v="1"/>
    <b v="0"/>
    <b v="0"/>
    <b v="0"/>
    <b v="0"/>
    <d v="2026-06-05T00:00:00"/>
  </r>
  <r>
    <s v="B0G8JRCJ3N"/>
    <s v="Samsung 301 L, 2 Star, Convertible 5-in-1 Digital Inverter with Display Frost Free Double Door Refrigerator (RT31H4522S9/HL, Silver, Refined Inox, 2026 Model)"/>
    <x v="7"/>
    <n v="36990"/>
    <n v="44999"/>
    <n v="0.17799999999999999"/>
    <n v="4.2"/>
    <n v="288"/>
    <n v="1"/>
    <b v="0"/>
    <b v="0"/>
    <b v="0"/>
    <b v="0"/>
    <d v="2026-06-05T00:00:00"/>
  </r>
  <r>
    <s v="B0GW8PT5TC"/>
    <s v="LG 276 L, 2 Star, Smart Inverter, Smart &amp;amp; Dairy Mode, Frost-Free Double Door Convertible Refrigerator (GLT2826XWOB, Onyx Black, Multi Air Flow, Fresh Zone &amp;amp; Deodorizer, 2026 Model)"/>
    <x v="7"/>
    <n v="32990"/>
    <n v="46990"/>
    <n v="0.29799999999999999"/>
    <m/>
    <n v="0"/>
    <n v="1"/>
    <b v="0"/>
    <b v="0"/>
    <b v="0"/>
    <b v="0"/>
    <d v="2026-06-05T00:00:00"/>
  </r>
  <r>
    <s v="B093Q1SLL4"/>
    <s v="Samsung 550 L, Convertible, Digital Inverter, Frost Free French Door Refrigerator (RF57A5032S9/TL, Silver, Refined Inox)"/>
    <x v="7"/>
    <n v="67990"/>
    <n v="87990"/>
    <n v="0.22700000000000001"/>
    <n v="4.0999999999999996"/>
    <n v="675"/>
    <n v="1"/>
    <b v="0"/>
    <b v="0"/>
    <b v="0"/>
    <b v="0"/>
    <d v="2026-06-05T00:00:00"/>
  </r>
  <r>
    <s v="B0GK87BDTR"/>
    <s v="Godrej 223 L 3 Star 5 Years Comprehensive New Launch Convertible Freezer 6-In-1, 30 Days Farm Freshness, Inverter Double Door Refrigerator (2026 Model, RF EON 244CN RCIF ST RH, Steel Rush)"/>
    <x v="7"/>
    <n v="23890"/>
    <n v="23990"/>
    <n v="4.0000000000000001E-3"/>
    <n v="3.5"/>
    <n v="38"/>
    <n v="1"/>
    <b v="0"/>
    <b v="0"/>
    <b v="0"/>
    <b v="0"/>
    <d v="2026-06-05T00:00:00"/>
  </r>
  <r>
    <s v="B0GP6YPGPC"/>
    <s v="Haier 325 L 2 Star Frost Free Triple Inverter Double Door Bottom Mount Refrigerator, Digital Touch Display &amp;amp; 2X Bigger Fresh Storage (HEB-332GBA-P, GE Black, 14 In 1 Convertible Modes, 2026 Model)"/>
    <x v="7"/>
    <n v="37890"/>
    <n v="59690"/>
    <n v="0.36499999999999999"/>
    <n v="4"/>
    <n v="1921"/>
    <n v="1"/>
    <b v="0"/>
    <b v="0"/>
    <b v="0"/>
    <b v="0"/>
    <d v="2026-06-05T00:00:00"/>
  </r>
  <r>
    <s v="B0CCJQ6449"/>
    <s v="Midea 233 L 2 Star Frost Free Convertible, Real Inverter Double Door Refrigerator (MDRT359FGI50, Crystal Silver)"/>
    <x v="7"/>
    <n v="18990"/>
    <m/>
    <m/>
    <n v="4.0999999999999996"/>
    <n v="110"/>
    <n v="1"/>
    <b v="0"/>
    <b v="0"/>
    <b v="0"/>
    <b v="0"/>
    <d v="2026-06-05T00:00:00"/>
  </r>
  <r>
    <s v="B0GMQBMGGN"/>
    <s v="LG 322 L, 2 Star, Convertible, Smart Inverter, Frost Free Double Door Refrigerator (GLT3226SNDS, Dazzle Steel, Express Freeze &amp;amp; Multi Air Flow)"/>
    <x v="7"/>
    <n v="41490"/>
    <n v="56490"/>
    <n v="0.26600000000000001"/>
    <n v="2.5"/>
    <n v="7"/>
    <n v="1"/>
    <b v="0"/>
    <b v="0"/>
    <b v="0"/>
    <b v="0"/>
    <d v="2026-06-05T00:00:00"/>
  </r>
  <r>
    <s v="B09CDRVKDP"/>
    <s v="Samsung 550 L Inverter Frost-Free French Door Refrigerator (RF57A5032B1/TL, Black DOI, Convertible), Real Stainless, Convertible"/>
    <x v="7"/>
    <n v="85990"/>
    <n v="108990"/>
    <n v="0.21099999999999999"/>
    <n v="4.0999999999999996"/>
    <n v="28"/>
    <n v="1"/>
    <b v="0"/>
    <b v="0"/>
    <b v="0"/>
    <b v="0"/>
    <d v="2026-06-05T00:00:00"/>
  </r>
  <r>
    <s v="B0DV43D663"/>
    <s v="VW 7.5 kg 5 Star Aqua Spin Semi Automatic Top Load Washing Machine AquaSpin0075P (Black)"/>
    <x v="8"/>
    <n v="7490"/>
    <n v="18999"/>
    <n v="0.60599999999999998"/>
    <n v="4.2"/>
    <n v="1722"/>
    <n v="1"/>
    <b v="0"/>
    <b v="0"/>
    <b v="0"/>
    <b v="0"/>
    <d v="2026-06-05T00:00:00"/>
  </r>
  <r>
    <s v="B0CC8P3J3L"/>
    <s v="Haier 6 kg 5 Star Oceanus Wave Drum Washing Machine Fully Automatic Top Load (HWM60-AE, Moonlight Silver)"/>
    <x v="8"/>
    <n v="13790"/>
    <n v="18490"/>
    <n v="0.254"/>
    <n v="4.3"/>
    <n v="2069"/>
    <n v="1"/>
    <b v="0"/>
    <b v="0"/>
    <b v="1"/>
    <b v="0"/>
    <d v="2026-06-05T00:00:00"/>
  </r>
  <r>
    <s v="B0GVRK9Y7Y"/>
    <s v="Midea 7 Kg 5 Star Fully Automatic Front Load Washing Machine with Inverter Motor, Self Clean Drum Technology, 15 Wash Programs (MFG17W70B/T-IND, Titanium Grey)"/>
    <x v="8"/>
    <n v="20490"/>
    <n v="44990"/>
    <n v="0.54500000000000004"/>
    <n v="5"/>
    <n v="2"/>
    <n v="1"/>
    <b v="0"/>
    <b v="0"/>
    <b v="0"/>
    <b v="0"/>
    <d v="2026-06-05T00:00:00"/>
  </r>
  <r>
    <s v="B0DSBRDRDV"/>
    <s v="Whirlpool 7 kg Magic Clean 5 Star Fully Automatic Top Load Washing Machine Grey (MAGIC CLEAN 7.0 GENX GREY 5YMW)"/>
    <x v="8"/>
    <n v="16740"/>
    <n v="19550"/>
    <n v="0.14399999999999999"/>
    <n v="4"/>
    <n v="13937"/>
    <n v="1"/>
    <b v="0"/>
    <b v="0"/>
    <b v="0"/>
    <b v="0"/>
    <d v="2026-06-05T00:00:00"/>
  </r>
  <r>
    <s v="B09DD573SY"/>
    <s v="LG 7 Kg 5 Star Wind Jet Dry Semi-Automatic Top Loading Washing Machine (P7020NGAZ, Dark Gray, Rat Away Feature)"/>
    <x v="8"/>
    <n v="11990"/>
    <n v="16090"/>
    <n v="0.255"/>
    <n v="4.4000000000000004"/>
    <n v="8258"/>
    <n v="1"/>
    <b v="0"/>
    <b v="0"/>
    <b v="0"/>
    <b v="0"/>
    <d v="2026-06-05T00:00:00"/>
  </r>
  <r>
    <s v="B09T6NX8W2"/>
    <s v="Samsung 6.5 kg, 5 star, Semi-Automatic Top Load Washing Machine (WT65R2200LL/TL, Air Turbo Drying, LIGHT GRAY, 5 Year Warranty on Wash Motor)"/>
    <x v="8"/>
    <n v="9990"/>
    <n v="12500"/>
    <n v="0.20100000000000001"/>
    <n v="3.9"/>
    <n v="1653"/>
    <n v="1"/>
    <b v="0"/>
    <b v="0"/>
    <b v="0"/>
    <b v="0"/>
    <d v="2026-06-05T00:00:00"/>
  </r>
  <r>
    <s v="B0CW93ZCB6"/>
    <s v="Voltas Beko, A Tata Product 6.5 Kg 5 Star Semi-Automatic Top Loading Washing Machine (WTT65UNX/OK3I0I0W01, Blue, Pulsator wash technology)"/>
    <x v="8"/>
    <n v="8590"/>
    <n v="12500"/>
    <n v="0.313"/>
    <n v="4"/>
    <n v="768"/>
    <n v="1"/>
    <b v="0"/>
    <b v="0"/>
    <b v="0"/>
    <b v="0"/>
    <d v="2026-06-05T00:00:00"/>
  </r>
  <r>
    <s v="B0GTML5HR7"/>
    <s v="Midea 7.5 Kg 5 Star Fully Automatic Top Load Washing Machine, Spiral Stream Tub, Dual Waterfall, 6 Petal Pulsator, Magic Filter (MWMTL075FP0PNMB, Auto Restart, Mid Black)"/>
    <x v="8"/>
    <n v="11790"/>
    <n v="19990"/>
    <n v="0.41"/>
    <n v="4.5"/>
    <n v="2"/>
    <n v="1"/>
    <b v="0"/>
    <b v="0"/>
    <b v="0"/>
    <b v="0"/>
    <d v="2026-06-05T00:00:00"/>
  </r>
  <r>
    <s v="B0B8NHX62W"/>
    <s v="Samsung 7 kg, 5 Star, Eco Bubble Technology, Digital Inverter Motor, Soft Closing Door, Fully-Automatic Top Load Washing Machine (WA70BG4441YYTL, Lavender Gray)"/>
    <x v="8"/>
    <n v="18690"/>
    <n v="22500"/>
    <n v="0.16900000000000001"/>
    <n v="4.0999999999999996"/>
    <n v="5698"/>
    <n v="1"/>
    <b v="0"/>
    <b v="0"/>
    <b v="0"/>
    <b v="0"/>
    <d v="2026-06-05T00:00:00"/>
  </r>
  <r>
    <s v="B0FHPZLTDL"/>
    <s v="Whirlpool 7.5 Kg 5 Star StainWash Magic Clean PRO Fully Automatic Top Load Washing Machine (MAGIC CLEAN PRO SW 7.5 (H) GREY 10YMW with In-Built Heater)"/>
    <x v="8"/>
    <n v="18640"/>
    <n v="23250"/>
    <n v="0.19800000000000001"/>
    <n v="4"/>
    <n v="13248"/>
    <n v="1"/>
    <b v="0"/>
    <b v="0"/>
    <b v="0"/>
    <b v="0"/>
    <d v="2026-06-05T00:00:00"/>
  </r>
  <r>
    <s v="B0BD8ZPFJQ"/>
    <s v="LG 8.5 kg 5 Star Semi-Automatic Top Load Washing Machine (P8530SRAZ, Burgundy, Roller Jet Pulsator)"/>
    <x v="8"/>
    <n v="15490"/>
    <n v="19990"/>
    <n v="0.22500000000000001"/>
    <n v="4.3"/>
    <n v="1601"/>
    <n v="1"/>
    <b v="0"/>
    <b v="0"/>
    <b v="0"/>
    <b v="0"/>
    <d v="2026-06-05T00:00:00"/>
  </r>
  <r>
    <s v="B0C8BDB9WZ"/>
    <s v="Haier 7 Kg 5 Star Semi Automatic Top Load Washing Machine with Anti Bacterial Cross Pulsator and Spray Function (HTW70-1187BTN, Anti Rat Mesh, Magic Filter, Castors, Burgundy)"/>
    <x v="8"/>
    <n v="9890"/>
    <n v="15500"/>
    <n v="0.36199999999999999"/>
    <n v="4.0999999999999996"/>
    <n v="950"/>
    <n v="1"/>
    <b v="0"/>
    <b v="0"/>
    <b v="0"/>
    <b v="0"/>
    <d v="2026-06-05T00:00:00"/>
  </r>
  <r>
    <s v="B0DPHT2HZL"/>
    <s v="LG 7 Kg 5 Star Smart Inverter Technology Fully Automatic Top Load Washing Machine (T70VBMB1Z, Auto Prewash, Turbodrum, Stainless Steel drum, LED Display, Smart Diagnosis Middle Black)"/>
    <x v="8"/>
    <n v="19990"/>
    <m/>
    <m/>
    <n v="4.2"/>
    <n v="2271"/>
    <n v="1"/>
    <b v="0"/>
    <b v="0"/>
    <b v="0"/>
    <b v="0"/>
    <d v="2026-06-05T00:00:00"/>
  </r>
  <r>
    <s v="B0GRGB5XSK"/>
    <s v="Samsung 8 Kg, 5 Star, Hygiene Steam, Ecobubble, Quick Wash, Soft Closing Door, Digital Inverter, Fully-Automatic Top Load Washing Machine (WA40F08H2CTL, In-Built Heater, Stainwash, Deep Charcoal)"/>
    <x v="8"/>
    <n v="23990"/>
    <n v="30990"/>
    <n v="0.22600000000000001"/>
    <n v="4.4000000000000004"/>
    <n v="25177"/>
    <n v="1"/>
    <b v="0"/>
    <b v="0"/>
    <b v="0"/>
    <b v="0"/>
    <d v="2026-06-05T00:00:00"/>
  </r>
  <r>
    <s v="B09T6NH99B"/>
    <s v="Samsung 7 kg, 5 star, Semi Automatic Top Load Washing Machine (WT70M3000UU/TL, Air Turbo Drying, LIGHT GRAY, 5 Year Warranty on Wash Motor)"/>
    <x v="8"/>
    <n v="11490"/>
    <n v="14150"/>
    <n v="0.188"/>
    <n v="4.3"/>
    <n v="7194"/>
    <n v="1"/>
    <b v="0"/>
    <b v="0"/>
    <b v="0"/>
    <b v="0"/>
    <d v="2026-06-05T00:00:00"/>
  </r>
  <r>
    <s v="B0B8NK5HTH"/>
    <s v="Samsung Smart Choice 8 kg, 5 star, Eco Bubble Tech, Digital Inverter Motor, Soft Closing Door, Fully-Automatic Top Load Washing Machine (WA80BG4441BGTL, Light Gray)"/>
    <x v="8"/>
    <n v="20690"/>
    <n v="27000"/>
    <n v="0.23400000000000001"/>
    <n v="4"/>
    <n v="4639"/>
    <n v="1"/>
    <b v="0"/>
    <b v="0"/>
    <b v="0"/>
    <b v="0"/>
    <d v="2026-06-05T00:00:00"/>
  </r>
  <r>
    <s v="B0D8L9RCK7"/>
    <s v="IFB 8 Kg 5 Star with Deep CleanÂ® Technology, AI Powered, Fully Automatic Top Load Washing Machine (TL801MG1, ActivMix, Aqua Energie, Med Grey)"/>
    <x v="8"/>
    <n v="19490"/>
    <n v="25290"/>
    <n v="0.22900000000000001"/>
    <n v="4"/>
    <n v="2324"/>
    <n v="1"/>
    <b v="0"/>
    <b v="0"/>
    <b v="0"/>
    <b v="0"/>
    <d v="2026-06-05T00:00:00"/>
  </r>
  <r>
    <s v="B0F4QQVV1L"/>
    <s v="LG Smart Choice, 7 Kg, 5 Star, Steam, Inverter Direct Drive Technology, 6 Motion DD, Fully-Automatic Front Load Washing Machine (FHB1207Z2W, Remove Allergens &amp;amp; Stain, In-Built Heater, Essence White)"/>
    <x v="8"/>
    <n v="27490"/>
    <n v="42490"/>
    <n v="0.35299999999999998"/>
    <n v="4.3"/>
    <n v="655"/>
    <n v="1"/>
    <b v="0"/>
    <b v="0"/>
    <b v="0"/>
    <b v="0"/>
    <d v="2026-06-05T00:00:00"/>
  </r>
  <r>
    <s v="B0DXQ5MQCF"/>
    <s v="Ionstar 7.5 Kg Semi Automatic Washing Machine - 5 Star Rated - 2025 - Top Load - Jet Pulsator - Magic Filter - Special Air Dryer - Buzzer - Wheels - Powerful Copper Motor - 1500 RPM (STAR75-AQUA-G)"/>
    <x v="8"/>
    <n v="7590"/>
    <n v="18990"/>
    <n v="0.6"/>
    <n v="4.4000000000000004"/>
    <n v="215"/>
    <n v="1"/>
    <b v="0"/>
    <b v="0"/>
    <b v="0"/>
    <b v="0"/>
    <d v="2026-06-05T00:00:00"/>
  </r>
  <r>
    <s v="B0DGLLG6FR"/>
    <s v="Whirlpool 7.0 Kg 5 Star MAGIC CLEAN Semi-Automatic Top Loading Washing Machine (MAGIC CLEAN RYL SRS 7.0 GREY DAZZLE (5YR), 4 Year Comprehensive Warranty, 1400 RPM Motor, 5 Year Motor Warranty)"/>
    <x v="8"/>
    <n v="10990"/>
    <n v="13550"/>
    <n v="0.189"/>
    <n v="4.3"/>
    <n v="12638"/>
    <n v="1"/>
    <b v="0"/>
    <b v="0"/>
    <b v="0"/>
    <b v="0"/>
    <d v="2026-06-05T00:00:00"/>
  </r>
  <r>
    <s v="B0G4H669DY"/>
    <s v="VW V8 TurboWash 8 Kg 5 Star Fully-Automatic Top Loading Washing Machine (Grey)"/>
    <x v="8"/>
    <n v="10990"/>
    <n v="34999"/>
    <n v="0.68600000000000005"/>
    <n v="3.8"/>
    <n v="91"/>
    <n v="1"/>
    <b v="0"/>
    <b v="0"/>
    <b v="0"/>
    <b v="0"/>
    <d v="2026-06-05T00:00:00"/>
  </r>
  <r>
    <s v="B0GCNSBMR3"/>
    <s v="Bosch 7 kg 5 Star Fully Automatic Top Loading Washing Machine (WOE70AH0IN, PowerWave Wash &amp;amp; in-built Dual Lint Filter, Stainless Steel VarioDrum with 5 fin Pulsator, Water Save, Eco Wash, Med Grey)"/>
    <x v="8"/>
    <n v="17990"/>
    <n v="24490"/>
    <n v="0.26500000000000001"/>
    <n v="4.2"/>
    <n v="2129"/>
    <n v="1"/>
    <b v="0"/>
    <b v="0"/>
    <b v="0"/>
    <b v="0"/>
    <d v="2026-06-05T00:00:00"/>
  </r>
  <r>
    <s v="B0C3LHV43S"/>
    <s v="LG Smart Choice, 9 Kg, 5 Star, AI Direct Drive Technology, Steam, 6 Motion DD &amp;amp; Wi-Fi Fully-Automatic Front Load Washing Machine (FHP1209Z5M, Intelligent &amp;amp; Convenient Fabric Care, Middle Black)"/>
    <x v="8"/>
    <n v="41990"/>
    <n v="53990"/>
    <n v="0.222"/>
    <n v="4.3"/>
    <n v="1961"/>
    <n v="1"/>
    <b v="0"/>
    <b v="0"/>
    <b v="0"/>
    <b v="0"/>
    <d v="2026-06-05T00:00:00"/>
  </r>
  <r>
    <s v="B0CW3K1TZL"/>
    <s v="Voltas Beko, A Tata Product 6.5 Kg 5 Star Fully-Automatic Top Loading Washing Machine (WTL6504UEA/OBS2P10 Eco-Series,Dark Grey, Pulsator wash and Double waterfall technology)"/>
    <x v="8"/>
    <n v="12990"/>
    <n v="23990"/>
    <n v="0.45900000000000002"/>
    <n v="4"/>
    <n v="434"/>
    <n v="1"/>
    <b v="0"/>
    <b v="0"/>
    <b v="0"/>
    <b v="0"/>
    <d v="2026-06-05T00:00:00"/>
  </r>
  <r>
    <s v="B0F4K415FW"/>
    <s v="Bosch 8 kg 5 Star Front Load Fully-Automatic Washing Machine, AI ActiveWater, 15 Wash Programs, Removes 99.9% Germs with Steam, No Tangle or Wrinkle,White, WAJ28260IN"/>
    <x v="8"/>
    <n v="29990"/>
    <n v="48190"/>
    <n v="0.378"/>
    <n v="4.2"/>
    <n v="2364"/>
    <n v="1"/>
    <b v="0"/>
    <b v="0"/>
    <b v="0"/>
    <b v="0"/>
    <d v="2026-06-05T00:00:00"/>
  </r>
  <r>
    <s v="B0C9M1ZM5S"/>
    <s v="Voltas Beko, Top Load 7 Kg 5 Star Eco Wash/Monsoon Dry Fully-Automatic Washing Machine (WTL70, Water Reuse, Side Waterfall, Mansoon Dry, Dark Grey)"/>
    <x v="8"/>
    <n v="15390"/>
    <n v="27990"/>
    <n v="0.45"/>
    <n v="4"/>
    <n v="749"/>
    <n v="1"/>
    <b v="0"/>
    <b v="0"/>
    <b v="0"/>
    <b v="0"/>
    <d v="2026-06-05T00:00:00"/>
  </r>
  <r>
    <s v="B0F3DBMCBQ"/>
    <s v="Godrej Smart Choice 7 Kg 5 Star, 5 Years Comprehensive Warranty, AI Tech, Fills Tub At ~0 Water Pressure, Fully-Automatic Top Load Washing Machine (WTEON ALP 70 5.0 FDUN GPGR, Graphite Grey)"/>
    <x v="8"/>
    <n v="15389"/>
    <n v="27300"/>
    <n v="0.436"/>
    <n v="4"/>
    <n v="543"/>
    <n v="1"/>
    <b v="0"/>
    <b v="0"/>
    <b v="0"/>
    <b v="0"/>
    <d v="2026-06-05T00:00:00"/>
  </r>
  <r>
    <s v="B0DCVZWYJV"/>
    <s v="Voltas Beko, A Tata Product 11 Kg 5 Star Fully-Automatic Top Loading Washing Machine (WTL1106UEA / OBS1060, Grey, Double Waterfall Technology)"/>
    <x v="8"/>
    <n v="22490"/>
    <n v="45990"/>
    <n v="0.51100000000000001"/>
    <n v="4"/>
    <n v="158"/>
    <n v="1"/>
    <b v="0"/>
    <b v="0"/>
    <b v="0"/>
    <b v="0"/>
    <d v="2026-06-05T00:00:00"/>
  </r>
  <r>
    <s v="B0F2SLWGJW"/>
    <s v="Samsung 8 Kg, 5 Star, AI Wash, AI Energy Mode, Wi-Fi, Ecobubble, AI VRT+, Super Speed, Soft Closing Door, Digital Inverter, Fully-Automatic Top Load Washing Machine (WA80F08S2LTL, Lavender Gray)"/>
    <x v="8"/>
    <n v="21990"/>
    <n v="30990"/>
    <n v="0.28999999999999998"/>
    <n v="4"/>
    <n v="1630"/>
    <n v="1"/>
    <b v="0"/>
    <b v="0"/>
    <b v="0"/>
    <b v="0"/>
    <d v="2026-06-05T00:00:00"/>
  </r>
  <r>
    <s v="B0DDTR73C1"/>
    <s v="Whirlpool 6.5 Kg 5 Star Magic Clean Semi-Automatic Top Loading Washing Machine (MAGIC CLEAN 6.5 GREY, 4 Year Comprehensive Warranty, 1400 RPM Motor, 5 Year Motor Warranty)"/>
    <x v="8"/>
    <n v="10490"/>
    <n v="13550"/>
    <n v="0.22600000000000001"/>
    <n v="4.2"/>
    <n v="437"/>
    <n v="1"/>
    <b v="0"/>
    <b v="0"/>
    <b v="0"/>
    <b v="0"/>
    <d v="2026-06-05T00:00:00"/>
  </r>
  <r>
    <s v="B0GCNFRRL8"/>
    <s v="Bosch 8 kg 5 Star Fully Automatic Top Loading Washing Machine (WOE80AH0IN, PowerWave Wash &amp;amp; in-built Dual Lint Filter, Stainless Steel VarioDrum with 5 fin Pulsator, Water Save, Eco Wash, Dark Grey)"/>
    <x v="8"/>
    <n v="19490"/>
    <n v="26490"/>
    <n v="0.26400000000000001"/>
    <n v="4.0999999999999996"/>
    <n v="527"/>
    <n v="1"/>
    <b v="0"/>
    <b v="0"/>
    <b v="0"/>
    <b v="0"/>
    <d v="2026-06-05T00:00:00"/>
  </r>
  <r>
    <s v="B0D95VC9WT"/>
    <s v="Voltas Beko, A Tata Product 9 Kg 5 Star Semi-Automatic Top Loading Washing Machine (WTT90UHA/OK5B1B1S23, Black, Pulsator Wash Method and Double waterfall technology)"/>
    <x v="8"/>
    <n v="13499"/>
    <n v="17990"/>
    <n v="0.25"/>
    <n v="4.0999999999999996"/>
    <n v="289"/>
    <n v="1"/>
    <b v="0"/>
    <b v="0"/>
    <b v="0"/>
    <b v="0"/>
    <d v="2026-06-05T00:00:00"/>
  </r>
  <r>
    <s v="B0F2TFK5YN"/>
    <s v="Voltas Beko, A Tata Product 8 kg 5 Star Fully-Automatic Top Loading Washing Machine (WTL8006UEA / OBS1060, Grey, Double Waterfall Technology)"/>
    <x v="8"/>
    <n v="17640"/>
    <n v="40990"/>
    <n v="0.56999999999999995"/>
    <n v="4"/>
    <n v="89"/>
    <n v="1"/>
    <b v="0"/>
    <b v="0"/>
    <b v="0"/>
    <b v="0"/>
    <d v="2026-06-05T00:00:00"/>
  </r>
  <r>
    <s v="B0DFLWDPV4"/>
    <s v="IFB 7 Kg 5 Star, DeepCleanÂ® Technology, AI Powered, WiFi, Fully Automatic Front Load Washing Machine (SERENA SXN 7012 CMS, PowerSteamÂ®, 9 Swirl, Steam Refresh, Inbuilt Heater, Eco Inverter,Rich Silver)"/>
    <x v="8"/>
    <n v="30490"/>
    <n v="37090"/>
    <n v="0.17799999999999999"/>
    <n v="4.5"/>
    <n v="1289"/>
    <n v="1"/>
    <b v="0"/>
    <b v="0"/>
    <b v="0"/>
    <b v="0"/>
    <d v="2026-06-05T00:00:00"/>
  </r>
  <r>
    <s v="B0FLRRMMX3"/>
    <s v="VW 8 kg 5 Star Super Wash Semi Automatic Top Load Washing Machine SuperWash0080P (White &amp;amp; Burgundy)"/>
    <x v="8"/>
    <n v="8099"/>
    <n v="19999"/>
    <n v="0.59499999999999997"/>
    <n v="4.3"/>
    <n v="465"/>
    <n v="1"/>
    <b v="0"/>
    <b v="0"/>
    <b v="0"/>
    <b v="0"/>
    <d v="2026-06-05T00:00:00"/>
  </r>
  <r>
    <s v="B0DRYMKCW4"/>
    <s v="Samsung 9 kg, 5 star, AI EcoBubble, Super Speed, Wi-Fi, Hygiene Steam with Inbuilt Heater, Digital Inverter, Fully-Automatic Front Load Washing Machine (WW90DG5U24AXTL, Inox)"/>
    <x v="8"/>
    <n v="40490"/>
    <n v="50990"/>
    <n v="0.20599999999999999"/>
    <n v="4.2"/>
    <n v="630"/>
    <n v="1"/>
    <b v="0"/>
    <b v="0"/>
    <b v="0"/>
    <b v="0"/>
    <d v="2026-06-05T00:00:00"/>
  </r>
  <r>
    <s v="B0F8QV7RCR"/>
    <s v="IFB 9 Kg 5 Star, DeepCleanÂ® Technology, AI Powered, WiFi, Fully Automatic Front Load Washing Machine (EXECUTIVE MXN 9014K CMS, PowerSteamÂ®, 9 Swirl, Steam Refresh, Inbuilt Heater, Eco Inverter, Mocha)"/>
    <x v="8"/>
    <n v="39990"/>
    <n v="48490"/>
    <n v="0.17499999999999999"/>
    <n v="4.5999999999999996"/>
    <n v="519"/>
    <n v="1"/>
    <b v="0"/>
    <b v="0"/>
    <b v="0"/>
    <b v="0"/>
    <d v="2026-06-05T00:00:00"/>
  </r>
  <r>
    <s v="B0BWN5V717"/>
    <s v="Samsung 7.5 Kg Inverter 5 Star Semi Automatic Top Load Washing Machine (WT75B3200RR/TL, Light Grey &amp;amp; Red Base, Air turbo drying, 5 Year Warranty on Wash Motor)"/>
    <x v="8"/>
    <n v="13000"/>
    <n v="15800"/>
    <n v="0.17699999999999999"/>
    <n v="4.0999999999999996"/>
    <n v="2878"/>
    <n v="1"/>
    <b v="0"/>
    <b v="0"/>
    <b v="0"/>
    <b v="0"/>
    <d v="2026-06-05T00:00:00"/>
  </r>
  <r>
    <s v="B0DFLWL16S"/>
    <s v="IFB 6.5 Kg 5 Star, DeepCleanÂ® Technology, AI Powered, Fully Automatic Front Load Washing Machine (ELENA GXN 6510, PowerSteamÂ®, 9 Swirl, Steam Refresh, Inbuilt Heater, Eco Inverter, Grey)"/>
    <x v="8"/>
    <n v="28990"/>
    <n v="35990"/>
    <n v="0.19400000000000001"/>
    <n v="4.2"/>
    <n v="632"/>
    <n v="1"/>
    <b v="0"/>
    <b v="0"/>
    <b v="0"/>
    <b v="0"/>
    <d v="2026-06-05T00:00:00"/>
  </r>
  <r>
    <s v="B0F2S2YTKP"/>
    <s v="Samsung Smart Choice 10 Kg, 5 Star, AI Wash, AI Energy Mode, Wi-Fi, Ecobubble, AI VRT+, Soft Closing Door, Digital Inverter, Fully-Automatic Top Load Washing Machine (WA80F10E2LTL, Lavender Gray)"/>
    <x v="8"/>
    <n v="25990"/>
    <n v="33990"/>
    <n v="0.23499999999999999"/>
    <n v="4.2"/>
    <n v="9559"/>
    <n v="1"/>
    <b v="0"/>
    <b v="0"/>
    <b v="0"/>
    <b v="0"/>
    <d v="2026-06-05T00:00:00"/>
  </r>
  <r>
    <s v="B0GCYNHN99"/>
    <s v="Whirlpool 8 kg Magic Clean 5 Star Fully Automatic Top Load Washing Machine Grey (MAGIC CLEAN ELT 8.0 GREY 10YMW, Hard Water Wash)"/>
    <x v="8"/>
    <n v="18690"/>
    <n v="21950"/>
    <n v="0.14899999999999999"/>
    <n v="4"/>
    <n v="1832"/>
    <n v="1"/>
    <b v="0"/>
    <b v="0"/>
    <b v="0"/>
    <b v="0"/>
    <d v="2026-06-05T00:00:00"/>
  </r>
  <r>
    <s v="B0D2QWCCC2"/>
    <s v="Godrej 7 Kg 5 Star, AI Powered, FabriSafe Drum, 65% Water Saving, Fully Automatic Front Load Washing Machine (WFEON CRS 7010 5.0 FKEDM GLWH, Glacial White)"/>
    <x v="8"/>
    <n v="21490"/>
    <n v="46500"/>
    <n v="0.53800000000000003"/>
    <n v="3.7"/>
    <n v="175"/>
    <n v="1"/>
    <b v="0"/>
    <b v="0"/>
    <b v="0"/>
    <b v="0"/>
    <d v="2026-06-05T00:00:00"/>
  </r>
  <r>
    <s v="B09FHRY2RF"/>
    <s v="LG 11 Kg 5 Star Wind Jet Dry Rat Away Technology Semi-Automatic Top Loading Washing Machine (P1155SKAZ, Roller Jet Pulsator, Punch + 3, Middle Black)"/>
    <x v="8"/>
    <n v="18990"/>
    <n v="26490"/>
    <n v="0.28299999999999997"/>
    <n v="4.4000000000000004"/>
    <n v="1504"/>
    <n v="1"/>
    <b v="0"/>
    <b v="0"/>
    <b v="0"/>
    <b v="0"/>
    <d v="2026-06-05T00:00:00"/>
  </r>
  <r>
    <s v="B0CVQJR1XL"/>
    <s v="Samsung 10.5 kg, 5 star, Semi-Automatic Top Load Washing Machine (WT10C4260GG/TL, Air Turbo Drying, Light Gray,)"/>
    <x v="8"/>
    <n v="16100"/>
    <n v="20490"/>
    <n v="0.214"/>
    <n v="4.3"/>
    <n v="1097"/>
    <n v="1"/>
    <b v="0"/>
    <b v="0"/>
    <b v="0"/>
    <b v="0"/>
    <d v="2026-06-05T00:00:00"/>
  </r>
  <r>
    <s v="B08ZJHJ5DJ"/>
    <s v="Haier 7 Kg, Oceanus Wave Drum, 15 Min Quick Wash, Magic Filter, 8 Wash Programs, Fully Automatic Top Load Washing Machine (HWM70-AE | Moonlight Silver)"/>
    <x v="8"/>
    <n v="15590"/>
    <n v="15990"/>
    <n v="2.5000000000000001E-2"/>
    <n v="4"/>
    <n v="817"/>
    <n v="1"/>
    <b v="0"/>
    <b v="0"/>
    <b v="0"/>
    <b v="0"/>
    <d v="2026-06-05T00:00:00"/>
  </r>
  <r>
    <s v="B0BV2RJV1B"/>
    <s v="Samsung 9.5 Kg, 5 Star, Semi-Automatic Top Load Washing Machine (WT95A4260GD/TL, Air Turbo Drying, Dark Gray, 5 Year Warranty on Wash Motor)"/>
    <x v="8"/>
    <n v="15790"/>
    <n v="20400"/>
    <n v="0.22600000000000001"/>
    <n v="4.3"/>
    <n v="2536"/>
    <n v="1"/>
    <b v="0"/>
    <b v="0"/>
    <b v="0"/>
    <b v="0"/>
    <d v="2026-06-05T00:00:00"/>
  </r>
  <r>
    <s v="B0D8HX97BY"/>
    <s v="IFB 9Kg 5 Star with Deep Clean Oxyjet Technology, AI Powered, Wi-Fi, Fully Automatic Front Load Washing Machine (EXECUTIVE MSC 9014 SSL, Steam Refresh Program with Eco Inverter, Metallic Silver)"/>
    <x v="8"/>
    <n v="44899"/>
    <m/>
    <m/>
    <n v="4.5"/>
    <n v="1963"/>
    <n v="2"/>
    <b v="0"/>
    <b v="0"/>
    <b v="0"/>
    <b v="0"/>
    <d v="2026-06-05T00:00:00"/>
  </r>
  <r>
    <s v="B0F43WXDG9"/>
    <s v="Whirlpool 10 Kg 5 Star MAGIC CLEAN BW PRO Heater Fully Automatic Top Load Washing Machine (MAGIC CLEAN BW PRO H 10 KG Mn GREY 10YMW with In-Built Heater, 2025)"/>
    <x v="8"/>
    <n v="26950"/>
    <n v="35500"/>
    <n v="0.24099999999999999"/>
    <n v="4"/>
    <n v="2892"/>
    <n v="1"/>
    <b v="0"/>
    <b v="0"/>
    <b v="0"/>
    <b v="0"/>
    <d v="2026-06-05T00:00:00"/>
  </r>
  <r>
    <s v="B0GMD5NPX6"/>
    <s v="Godrej 1.5 Ton 3 Star Inverter Split AC with 5-in-1 Convertible Cooling| 5 Year Comprehensive Warranty| AI Powered| Heavy Duty Cooling at 52Â°C| Self Clean Technology (AC 1.5T EC HIC 18Q3TH WA)"/>
    <x v="9"/>
    <n v="32950"/>
    <n v="45300"/>
    <n v="0.27300000000000002"/>
    <n v="3.1"/>
    <n v="55"/>
    <n v="4"/>
    <b v="0"/>
    <b v="0"/>
    <b v="0"/>
    <b v="0"/>
    <d v="2026-06-05T00:00:00"/>
  </r>
  <r>
    <s v="B0GN37XP19"/>
    <s v="Cruise 1 Ton 3 Star, New Star rated, Inverter Split AC with 7-Stage Air Filtration (Copper, Convertible 4-in-1, Fast Cooling at 48 Â°C, PM 2.5 Filter, Anti-Rust Tech, CWCVBM-VQ1D123,White)"/>
    <x v="9"/>
    <n v="26990"/>
    <n v="43900"/>
    <n v="0.38500000000000001"/>
    <n v="4.0999999999999996"/>
    <n v="174"/>
    <n v="1"/>
    <b v="0"/>
    <b v="0"/>
    <b v="0"/>
    <b v="0"/>
    <d v="2026-06-05T00:00:00"/>
  </r>
  <r>
    <s v="B0H2Z54Y5T"/>
    <s v="Godrej 1.5 Ton 3 Star Inverter Split Smart AC (2026 Model, HIC 18Z3TG VA IOT4, Copper Condenser, 4-Way Swing, Wi-Fi Voice &amp;amp; App Control, i-Sense Technology, White)"/>
    <x v="9"/>
    <n v="34999"/>
    <m/>
    <m/>
    <m/>
    <n v="0"/>
    <n v="1"/>
    <b v="0"/>
    <b v="0"/>
    <b v="0"/>
    <b v="0"/>
    <d v="2026-06-05T00:00:00"/>
  </r>
  <r>
    <s v="B0GHFS8GMH"/>
    <s v="Cruise 1.5 Ton 3 Star,New Star rated, Inverter Split AC with 7-Stage Air Filtration (Copper, Convertible 4-in-1, Fast Cooling, PM 2.5 Filter, Anti-Rust Tech, New BEE Rated, CWCVBM-VQ3D173, White)"/>
    <x v="9"/>
    <n v="29990"/>
    <n v="47900"/>
    <n v="0.374"/>
    <n v="3.7"/>
    <n v="171"/>
    <n v="1"/>
    <b v="0"/>
    <b v="0"/>
    <b v="0"/>
    <b v="0"/>
    <d v="2026-06-05T00:00:00"/>
  </r>
  <r>
    <s v="B0CWVDXYX1"/>
    <s v="Voltas 183V Vectra CAW 1.5 ton 3 star,New star rated, inverter Split AC|4-IN-1 Adjustable mode|High ambient Cooling-cools even at 52Â°C|Anti dust filter with Anti-microbial coating|Copper Coil| White"/>
    <x v="9"/>
    <n v="31490"/>
    <n v="62990"/>
    <n v="0.5"/>
    <n v="3.5"/>
    <n v="2493"/>
    <n v="1"/>
    <b v="0"/>
    <b v="0"/>
    <b v="0"/>
    <b v="0"/>
    <d v="2026-06-05T00:00:00"/>
  </r>
  <r>
    <s v="B0GHQVN35Z"/>
    <s v="Whirlpool 1.5 Ton 3 Star, New star rated, Magicool Inverter Split AC (MAGICOOL 15T 3S INV CNV S6K2PP0, Copper, Convertible 4-in-1 Cooling Mode, HD Filter White)"/>
    <x v="9"/>
    <n v="32490"/>
    <n v="57150"/>
    <n v="0.43099999999999999"/>
    <n v="3.1"/>
    <n v="112"/>
    <n v="2"/>
    <b v="0"/>
    <b v="0"/>
    <b v="0"/>
    <b v="0"/>
    <d v="2026-06-05T00:00:00"/>
  </r>
  <r>
    <s v="B0GSJV6XTF"/>
    <s v="IFB 1 Ton 3 Star,New star rated, AI Powered Inverter Split AC,Hybrid Mode, 8in1 Flexi Mode, Heavy Duty Compressor, Long Air Throw, Self Clean, Dual Gold Fins, 100% Copper, CI133SL11RGM3, white"/>
    <x v="9"/>
    <n v="30980"/>
    <n v="50990"/>
    <n v="0.39200000000000002"/>
    <n v="4.2"/>
    <n v="101"/>
    <n v="4"/>
    <b v="0"/>
    <b v="0"/>
    <b v="0"/>
    <b v="0"/>
    <d v="2026-06-05T00:00:00"/>
  </r>
  <r>
    <s v="B0F2J56GZR"/>
    <s v="Blue Star 1 Ton 3 Star,Inverter Split AC (Copper, Convertible 5 in 1 Cooling, DigiQ Hepta Sensor,Blue Fins, Self Diagnosis, IE312PNU, White)"/>
    <x v="9"/>
    <n v="39700"/>
    <m/>
    <m/>
    <n v="4.3"/>
    <n v="135"/>
    <n v="1"/>
    <b v="0"/>
    <b v="0"/>
    <b v="0"/>
    <b v="0"/>
    <d v="2026-06-05T00:00:00"/>
  </r>
  <r>
    <s v="B0GVJ3PXPG"/>
    <s v="IFB 1.5 Ton 5Star,New star rated,AI Powered Inverter Split Air Conditioner with Inbuilt WiFi,Hybrid Mode, 8in1 Flexi Mode,Heavy Duty Compressor,Self Clean,100% Copper Tubes,CI195SS32SGM3, White"/>
    <x v="9"/>
    <n v="42490"/>
    <n v="76490"/>
    <n v="0.44500000000000001"/>
    <n v="4.3"/>
    <n v="264"/>
    <n v="1"/>
    <b v="0"/>
    <b v="0"/>
    <b v="1"/>
    <b v="0"/>
    <d v="2026-06-05T00:00:00"/>
  </r>
  <r>
    <s v="B0D184ZZDL"/>
    <s v="Lloyd 1 Ton 3 Star Inverter Split AC (5 in 1 Convertible, Cools Up To 52Â°C, Smart 4 Way Air Swing, Turbo Cool, Installation Check, 100% Copper, White with Silver Deco Strip, GLS12I3FWSEA)"/>
    <x v="9"/>
    <n v="28990"/>
    <m/>
    <m/>
    <n v="3.2"/>
    <n v="143"/>
    <n v="1"/>
    <b v="0"/>
    <b v="0"/>
    <b v="0"/>
    <b v="0"/>
    <d v="2026-06-05T00:00:00"/>
  </r>
  <r>
    <s v="B0GX6XHZ3S"/>
    <s v="GENERAL 1 Ton BEE 2026 3 Star Rated, Inverter Split AC (Copper, 3580W, Powerful Cooling, 10m Long Reach Airflow, 55Â°C Max, Suitable for 120~150 Sft, ASGG12CPWA-B, White, Free Standard Installation)"/>
    <x v="9"/>
    <n v="39390"/>
    <n v="44400"/>
    <n v="0.113"/>
    <n v="4.3"/>
    <n v="9"/>
    <n v="1"/>
    <b v="0"/>
    <b v="0"/>
    <b v="0"/>
    <b v="0"/>
    <d v="2026-06-05T00:00:00"/>
  </r>
  <r>
    <s v="B0DQTBQV3C"/>
    <s v="Hitachi 1.5 Ton 3 Star Xpandable+ Inverter Split AC (100% Copper, 4-Way Swing, ice Clean, Dust Filter, 3400SXL RAS.D318PCCIBS, White)"/>
    <x v="9"/>
    <n v="34880"/>
    <n v="63850"/>
    <n v="0.45400000000000001"/>
    <n v="3.9"/>
    <n v="1203"/>
    <n v="5"/>
    <b v="0"/>
    <b v="0"/>
    <b v="0"/>
    <b v="0"/>
    <d v="2026-06-05T00:00:00"/>
  </r>
  <r>
    <s v="B0GVJ3WB54"/>
    <s v="IFB 1.5 Ton 3 Star, New star rated,AI Powered Inverter Split AC,Inbuilt WiFi, Hybrid Mode, 8-in-1 Flexi Mode, Heavy Duty Compressor, Long Air Throw, Self Clean, 100% Copper,CI183SS22SGM3, White"/>
    <x v="9"/>
    <n v="36300"/>
    <n v="61490"/>
    <n v="0.41"/>
    <n v="4.3"/>
    <n v="32"/>
    <n v="1"/>
    <b v="0"/>
    <b v="0"/>
    <b v="0"/>
    <b v="0"/>
    <d v="2026-06-05T00:00:00"/>
  </r>
  <r>
    <s v="B0GP6S6S5F"/>
    <s v="Hitachi 1 Ton 5 Star, New Star rated, Inverter Split AC (Copper, Smart View Display, ice Clean, 4 Way Swing, Anti-Bacterial Filter,RAS.V512PCDIBT, White)"/>
    <x v="9"/>
    <n v="36999"/>
    <n v="65990"/>
    <n v="0.439"/>
    <n v="3.8"/>
    <n v="52"/>
    <n v="1"/>
    <b v="0"/>
    <b v="0"/>
    <b v="0"/>
    <b v="0"/>
    <d v="2026-06-05T00:00:00"/>
  </r>
  <r>
    <s v="B0GSZWGHM3"/>
    <s v="Voltas 1.5 ton 5 Star Inverter Window AC (Copper, 2-in-1 Cooling Modes, Anti-Dust Filter, 2-Way Swing, Memory Restart, Sleep Mode (185INV ELITE, White)"/>
    <x v="9"/>
    <n v="34990"/>
    <n v="47990"/>
    <n v="0.27100000000000002"/>
    <n v="3.6"/>
    <n v="42"/>
    <n v="1"/>
    <b v="0"/>
    <b v="0"/>
    <b v="0"/>
    <b v="0"/>
    <d v="2026-06-05T00:00:00"/>
  </r>
  <r>
    <s v="B0GWMMD2DT"/>
    <s v="LG 1.5 Ton 5 Star,New star rated, Smart Inverter Split AC (Copper, AI Convertible 6in1,VIRAAT Mode, Faster Cooling &amp;amp; Energy Saving, 4 Way Swing, HD Filter, AS-Q19YNZE1,White)"/>
    <x v="9"/>
    <n v="48490"/>
    <n v="83290"/>
    <n v="0.41799999999999998"/>
    <n v="4.0999999999999996"/>
    <n v="788"/>
    <n v="1"/>
    <b v="0"/>
    <b v="0"/>
    <b v="0"/>
    <b v="0"/>
    <d v="2026-06-05T00:00:00"/>
  </r>
  <r>
    <s v="B0GMDS7CY7"/>
    <s v="Godrej 1 Ton 5 Star, New Star rated, 5 Years Comprehensive Warranty, AI Powered, 5in1 Convertible Cooling, Inverter Split AC (Copper,Heavy-Duty Cooling at 52Â° C, AC 1.0T EC HIC 12J5TG WA,White)"/>
    <x v="9"/>
    <n v="33989"/>
    <n v="49090"/>
    <n v="0.308"/>
    <n v="3.9"/>
    <n v="607"/>
    <n v="1"/>
    <b v="0"/>
    <b v="0"/>
    <b v="0"/>
    <b v="0"/>
    <d v="2026-06-05T00:00:00"/>
  </r>
  <r>
    <s v="B0GXWCJ7JQ"/>
    <s v="Voltas 1 ton 3 Star Split AC|Auto Clean|Sleep mode (123INV VECTRA EMERALD)"/>
    <x v="9"/>
    <n v="31490"/>
    <n v="32400"/>
    <n v="2.8000000000000001E-2"/>
    <n v="4"/>
    <n v="1"/>
    <n v="1"/>
    <b v="0"/>
    <b v="0"/>
    <b v="0"/>
    <b v="0"/>
    <d v="2026-06-05T00:00:00"/>
  </r>
  <r>
    <s v="B0GQ4VYGH7"/>
    <s v="VELURA Ductless Mini Split Air Conditioner with Remote for Apartment Office Bedroom|1 Mini Split Air Conditioner Home &amp;amp; Garden"/>
    <x v="9"/>
    <n v="6735"/>
    <n v="12796"/>
    <n v="0.47399999999999998"/>
    <n v="2.5"/>
    <n v="3"/>
    <n v="2"/>
    <b v="0"/>
    <b v="0"/>
    <b v="0"/>
    <b v="0"/>
    <d v="2026-06-05T00:00:00"/>
  </r>
  <r>
    <s v="B0GN1PXL63"/>
    <s v="Godrej 1.5 Ton 3 Star, New star rated,5 Years Comprehensive Warranty,AI Powered, 5 in1 Convertible Cooling, Inverter Split AC (Copper, Heavy Duty Cooling at 52Â°C, AC 1.5T SIC 18NTC3 WZE 3S,White)"/>
    <x v="9"/>
    <n v="31990"/>
    <m/>
    <m/>
    <n v="3.5"/>
    <n v="146"/>
    <n v="1"/>
    <b v="0"/>
    <b v="0"/>
    <b v="0"/>
    <b v="0"/>
    <d v="2026-06-05T00:00:00"/>
  </r>
  <r>
    <s v="B0GHFLZQ21"/>
    <s v="Cruise 1.5 Ton 5 Star, New star rated, Black Inverter Split AC (Copper, Convertible 4-in-1, 4-Way Swing, Cooling at 55 Â°C, PM 2.5 Filter, Energy Saving, Anti-Rust Tech, CWCVBM-VP3F185BL, Piano Black)"/>
    <x v="9"/>
    <n v="36989"/>
    <n v="60900"/>
    <n v="0.39300000000000002"/>
    <n v="3.7"/>
    <n v="11"/>
    <n v="1"/>
    <b v="0"/>
    <b v="0"/>
    <b v="0"/>
    <b v="0"/>
    <d v="2026-06-05T00:00:00"/>
  </r>
  <r>
    <s v="B0BK1KS6ZD"/>
    <s v="Daikin 1.5 Ton 3 Star Inverter Split AC (Copper, PM 2.5 Filter, Triple Display, Dew Clean Technology, Coanda Airflow, 2024 Model, MTKL50U, White)"/>
    <x v="9"/>
    <n v="38990"/>
    <n v="67900"/>
    <n v="0.42599999999999999"/>
    <n v="4.0999999999999996"/>
    <n v="4698"/>
    <n v="1"/>
    <b v="0"/>
    <b v="0"/>
    <b v="0"/>
    <b v="0"/>
    <d v="2026-06-05T00:00:00"/>
  </r>
  <r>
    <s v="B0GT12VHZB"/>
    <s v="Voltas 1 ton 2 Star Fixed Speed Window AC (Copper, Anti Dust Filter, 2-Way Air Swing, Memory Restart, Sleep Mode (122FS PLATINA, White)"/>
    <x v="9"/>
    <n v="27981"/>
    <n v="32990"/>
    <n v="0.152"/>
    <n v="3.4"/>
    <n v="18"/>
    <n v="1"/>
    <b v="0"/>
    <b v="0"/>
    <b v="0"/>
    <b v="0"/>
    <d v="2026-06-05T00:00:00"/>
  </r>
  <r>
    <s v="B0GLG57PWF"/>
    <s v="Ductless Mini Split Air Conditioner with Remote for Apartment Office Bedroom"/>
    <x v="9"/>
    <n v="5686"/>
    <n v="12167"/>
    <n v="0.53300000000000003"/>
    <m/>
    <n v="0"/>
    <n v="1"/>
    <b v="0"/>
    <b v="0"/>
    <b v="0"/>
    <b v="0"/>
    <d v="2026-06-05T00:00:00"/>
  </r>
  <r>
    <s v="B0GDZVGC9W"/>
    <s v="LG 1 Ton 4 Star,New star rated,DUAL Inverter Split AC (Copper, AI Convertible 6-in-1 with VIRAAT Mode,Faster Cooling &amp;amp; Energy Saving, 4 Way Swing, HD Filter with AntiVirus Protection,AS-Q13JNYE,White)"/>
    <x v="9"/>
    <n v="37490"/>
    <n v="68990"/>
    <n v="0.45700000000000002"/>
    <n v="4"/>
    <n v="2065"/>
    <n v="1"/>
    <b v="0"/>
    <b v="0"/>
    <b v="0"/>
    <b v="0"/>
    <d v="2026-06-05T00:00:00"/>
  </r>
  <r>
    <s v="B0F6VQ2XV6"/>
    <s v="Acerpure Chill Inverter Split Air Conditioner 1 ton 3 star, 4 in 1 convertible design, Anti-virus Filter, Blue Fin Technology Air Conditioner (White)"/>
    <x v="9"/>
    <n v="24990"/>
    <n v="27999"/>
    <n v="0.107"/>
    <n v="3.3"/>
    <n v="16"/>
    <n v="1"/>
    <b v="0"/>
    <b v="0"/>
    <b v="0"/>
    <b v="0"/>
    <d v="2026-06-05T00:00:00"/>
  </r>
  <r>
    <s v="B0GLPT7LPG"/>
    <s v="Ecozen Smart Air Conditioner - 1.5 Ton Inverter AC with Intelligent Cooling and Smartphone App Control (Classic) - IDU-WSAC18310XE52VMA, ODU-WSAC18310XE52VMA"/>
    <x v="9"/>
    <m/>
    <m/>
    <m/>
    <n v="3.2"/>
    <n v="21"/>
    <n v="1"/>
    <b v="0"/>
    <b v="0"/>
    <b v="0"/>
    <b v="0"/>
    <d v="2026-06-05T00:00:00"/>
  </r>
  <r>
    <s v="B0DSJ9FQLD"/>
    <s v="Whirlpool 1.5 Ton 3 Star, Magicool Inverter Split AC (MAGICOOL 15T 3S INV CNV S5K2PP0, Copper, Convertible 4-in-1 Cooling Mode, HD Filter White)"/>
    <x v="9"/>
    <n v="32100"/>
    <n v="57660"/>
    <n v="0.443"/>
    <n v="3.3"/>
    <n v="630"/>
    <n v="1"/>
    <b v="0"/>
    <b v="0"/>
    <b v="0"/>
    <b v="0"/>
    <d v="2026-06-05T00:00:00"/>
  </r>
  <r>
    <s v="B0GMYF4SNM"/>
    <s v="Blue Star 1.5 Ton 5 Star,New Star Rated, Wi-Fi Smart Inverter Split AC (Copper,4-Way Swing, DigiQ Hepta Sensor, Blue Fins,Turbo Cool, Self Clean Technology (IA518ZXUS, White))"/>
    <x v="9"/>
    <n v="47490"/>
    <n v="75000"/>
    <n v="0.36699999999999999"/>
    <n v="4.2"/>
    <n v="19"/>
    <n v="1"/>
    <b v="0"/>
    <b v="0"/>
    <b v="0"/>
    <b v="0"/>
    <d v="2026-06-05T00:00:00"/>
  </r>
  <r>
    <s v="B0GRTMHWLD"/>
    <s v="Sharp 1 Ton 3 star, New Star Rated,Split AC (4 Way Swing, 100% copper, Hi-Tech Inverter Compressor, 7in1 Convertible, Turbo cool, Dust filter) - AH-SI12V3B-GCN, White"/>
    <x v="9"/>
    <n v="27940"/>
    <m/>
    <m/>
    <n v="3.7"/>
    <n v="29"/>
    <n v="1"/>
    <b v="0"/>
    <b v="0"/>
    <b v="0"/>
    <b v="0"/>
    <d v="2026-06-05T00:00:00"/>
  </r>
  <r>
    <s v="B0GHYMPNZ9"/>
    <s v="Samsung 1 Ton 3 Star,New Star rated Bespoke AI Inverter Smart Split AC (WiFi, Energy Saving, Voice Control, Powerful Cooling, Copper, Digital Inverter, 4 Way swing, white, AR50H12D1LHNNA)"/>
    <x v="9"/>
    <n v="33490"/>
    <n v="67990"/>
    <n v="0.50700000000000001"/>
    <n v="4.0999999999999996"/>
    <n v="96"/>
    <n v="1"/>
    <b v="0"/>
    <b v="0"/>
    <b v="0"/>
    <b v="0"/>
    <d v="2026-06-05T00:00:00"/>
  </r>
  <r>
    <s v="B0DR2YG4FF"/>
    <s v="Godrej 1 Ton 3 Star,New star rated,5 Years Comprehensive Warranty,AI Powered, 5-In-1 Convertible Cooling, Inverter Split AC (Copper,Model,Heavy duty cooling at 52 Â°C, AC1T EI 12PINV3R32 WYQ 3S,White)"/>
    <x v="9"/>
    <n v="26490"/>
    <m/>
    <m/>
    <n v="3.4"/>
    <n v="443"/>
    <n v="1"/>
    <b v="0"/>
    <b v="0"/>
    <b v="0"/>
    <b v="0"/>
    <d v="2026-06-05T00:00:00"/>
  </r>
  <r>
    <s v="B0GPWXCGV1"/>
    <s v="Daikin 1.0 Ton 3 Star, New Star rated, Inverter Split AC (Copper, PM2.5 Filter, MTKL35XV16, White)"/>
    <x v="9"/>
    <n v="33490"/>
    <n v="48500"/>
    <n v="0.309"/>
    <n v="3.8"/>
    <n v="56"/>
    <n v="1"/>
    <b v="0"/>
    <b v="0"/>
    <b v="0"/>
    <b v="0"/>
    <d v="2026-06-05T00:00:00"/>
  </r>
  <r>
    <s v="B0DSJ9J3PY"/>
    <s v="Whirlpool 1.5 Ton 5 Star, Magicool Inverter Split AC (MAGICOOL 15T 5S INV CNV S5K2PP0, Copper, Convertible 4-in-1 Cooling Mode, HD Filter White)"/>
    <x v="9"/>
    <n v="36950"/>
    <n v="75000"/>
    <n v="0.50700000000000001"/>
    <n v="3.5"/>
    <n v="877"/>
    <n v="1"/>
    <b v="0"/>
    <b v="0"/>
    <b v="0"/>
    <b v="0"/>
    <d v="2026-06-05T00:00:00"/>
  </r>
  <r>
    <s v="B0GHR4CZK4"/>
    <s v="Panasonic 1.5 Ton 5 Star, New star rated,Inverter Premium Window AC (Top Throw Airflow, 50Â°C Oper., Copper Cond., 8in1 Convertible, 4-Way, PM0.1 Filter, ECO Mode, Powerful Mode, CW-XU185CGT, White)"/>
    <x v="9"/>
    <n v="39289"/>
    <n v="60990"/>
    <n v="0.35599999999999998"/>
    <n v="4.4000000000000004"/>
    <n v="16"/>
    <n v="1"/>
    <b v="0"/>
    <b v="0"/>
    <b v="0"/>
    <b v="0"/>
    <d v="2026-06-05T00:00:00"/>
  </r>
  <r>
    <s v="B0CWVDN3HZ"/>
    <s v="Voltas 185V Vectra CAR 1.5 ton 5 star,New star rated, inverter Split AC|4-IN-1 Adjustable modeHigh ambient Cooling-cools even at 52Â°C|Anti dust filter with Anti-microbial coating|Copper Coil|White"/>
    <x v="9"/>
    <n v="39990"/>
    <n v="83999"/>
    <n v="0.52400000000000002"/>
    <n v="3.7"/>
    <n v="1050"/>
    <n v="1"/>
    <b v="0"/>
    <b v="0"/>
    <b v="0"/>
    <b v="0"/>
    <d v="2026-06-05T00:00:00"/>
  </r>
  <r>
    <s v="B0CDHBG4TT"/>
    <s v="Hitachi 1.5 Ton 3 Star Hot &amp;amp; Cold Inverter Split AC with Expandable Technology (100% Copper, Dust Filter, 3100HP RSQG318HGXA, White)"/>
    <x v="9"/>
    <n v="37400"/>
    <m/>
    <m/>
    <n v="4.0999999999999996"/>
    <n v="85"/>
    <n v="1"/>
    <b v="0"/>
    <b v="0"/>
    <b v="0"/>
    <b v="0"/>
    <d v="2026-06-05T00:00:00"/>
  </r>
  <r>
    <s v="B0GCDZ3BSK"/>
    <s v="Carrier 1.5 Ton 5 Star, New Star rated, Flexicool Inverter Split AC (Copper, Convertible 6-in-1 with Smart Energy Display, Insta Cool, Auto Clean and PM 2.5 Filter, ESTER EDGE Gxi-CAI18EE5R36F0, White)"/>
    <x v="9"/>
    <n v="45990"/>
    <n v="75590"/>
    <n v="0.39200000000000002"/>
    <n v="4"/>
    <n v="131"/>
    <n v="1"/>
    <b v="0"/>
    <b v="0"/>
    <b v="0"/>
    <b v="0"/>
    <d v="2026-06-05T00:00:00"/>
  </r>
  <r>
    <s v="B0GHQTWCZ6"/>
    <s v="Panasonic 2.0 Ton 4 Star New Star rated Premium WiFi Inverter Smart Split AC (DustBuster Tech,Matter Enabled,AI,Higher Airflow, Copper Cond., 8in1 Convertible,4-Way,PM0.1 Filter,CS/CU-NU24BKY4W,White)"/>
    <x v="9"/>
    <n v="61989"/>
    <n v="79500"/>
    <n v="0.22"/>
    <n v="3.8"/>
    <n v="26"/>
    <n v="1"/>
    <b v="0"/>
    <b v="0"/>
    <b v="0"/>
    <b v="0"/>
    <d v="2026-06-05T00:00:00"/>
  </r>
  <r>
    <s v="B0GP736CV2"/>
    <s v="Hitachi 1.5 Ton 5 Star, New star rated, Inverter Split AC (Copper,Wi-Fi, 4 Way Swing, Hybrid Convertible, ice Clean cooling, Anti-bacterial Mesh Filter,RAS.V518PCDIBM1, White)"/>
    <x v="9"/>
    <n v="45999"/>
    <n v="80990"/>
    <n v="0.432"/>
    <n v="3.6"/>
    <n v="29"/>
    <n v="1"/>
    <b v="0"/>
    <b v="0"/>
    <b v="0"/>
    <b v="0"/>
    <d v="2026-06-05T00:00:00"/>
  </r>
  <r>
    <s v="B0GNZ9J864"/>
    <s v="Samsung 1.5Ton 5Star,New Star rated, Bespoke AI Inverter Smart Split AC (Wifi, Energy Saving, Voice Control, Powerful Cooling, Copper, Digital Inverter, 4 Way swing, White,AR50H18D1NHNNA)"/>
    <x v="9"/>
    <n v="48490"/>
    <n v="87990"/>
    <n v="0.44900000000000001"/>
    <n v="3.8"/>
    <n v="16"/>
    <n v="2"/>
    <b v="0"/>
    <b v="0"/>
    <b v="0"/>
    <b v="0"/>
    <d v="2026-06-05T00:00:00"/>
  </r>
  <r>
    <s v="B0GSJLWC8B"/>
    <s v="IFB 1.5Ton 5Star,New star rated,AI Powered Inverter Split Air Conditioner,Hybrid Mode, 8in1 Flexi Mode,Heavy Duty Compressor,Self Clean, Dual Gold Fins,100% Copper Tubes,CI195GD32RGM3, white"/>
    <x v="9"/>
    <n v="42990"/>
    <n v="74990"/>
    <n v="0.42699999999999999"/>
    <n v="4.0999999999999996"/>
    <n v="38"/>
    <n v="2"/>
    <b v="0"/>
    <b v="0"/>
    <b v="0"/>
    <b v="0"/>
    <d v="2026-06-05T00:00:00"/>
  </r>
  <r>
    <s v="B0GCDHG1FX"/>
    <s v="Carrier 2 T 5Star,New Star rated,Wi-Fi Smart Flexicool Inverter Split AC(Copper,Convertible6-in-1withWi-Fi with Geo-Fencing,Smart EnergyDisplay,New star Rating,ESTER EDGE Gxi WiFi-CAI24EE5R36W1,White)"/>
    <x v="9"/>
    <n v="58989"/>
    <n v="91690"/>
    <n v="0.35699999999999998"/>
    <n v="4"/>
    <n v="85"/>
    <n v="1"/>
    <b v="0"/>
    <b v="0"/>
    <b v="0"/>
    <b v="0"/>
    <d v="2026-06-05T00:00:00"/>
  </r>
  <r>
    <s v="B0DQTDJ5MD"/>
    <s v="Hitachi 1.5 Ton 5 Star, New star rated, Xpandable+ Inverter Split AC (100% Copper, Smart Display, 4-Way Swing, ice Clean, Dust Filter, 5400STXL RAS.G518PCCIBT, White)"/>
    <x v="9"/>
    <n v="44690"/>
    <m/>
    <m/>
    <n v="4"/>
    <n v="775"/>
    <n v="3"/>
    <b v="0"/>
    <b v="0"/>
    <b v="0"/>
    <b v="0"/>
    <d v="2026-06-05T00:00:00"/>
  </r>
  <r>
    <s v="B0G9SR834W"/>
    <s v="Samsung 1.5 Ton 3 Star,New Star rated, Bespoke AI Inverter Smart Split AC (WiFi, Energy Saving,Voice Control,Powerful Cooling,Copper, Digital Inverter, 4 Way swing, White, AR50H18D13HNNA)"/>
    <x v="9"/>
    <n v="35490"/>
    <n v="78990"/>
    <n v="0.55100000000000005"/>
    <n v="3.7"/>
    <n v="1830"/>
    <n v="1"/>
    <b v="0"/>
    <b v="0"/>
    <b v="0"/>
    <b v="0"/>
    <d v="2026-06-05T00:00:00"/>
  </r>
  <r>
    <s v="B0GS286N2M"/>
    <s v="Blue Star 2 Ton 3 Star, New Star Rated, Smart Inverter Split AC (Copper,4-Way Swing, DigiQ Hepta Sensor, Blue Fins,Turbo Cool, Self Clean Technology (IA322DXU, White)"/>
    <x v="9"/>
    <n v="48950"/>
    <n v="84990"/>
    <n v="0.42399999999999999"/>
    <n v="4.4000000000000004"/>
    <n v="23"/>
    <n v="8"/>
    <b v="0"/>
    <b v="0"/>
    <b v="0"/>
    <b v="0"/>
    <d v="2026-06-05T00:00:00"/>
  </r>
  <r>
    <s v="B0GKMP6VYS"/>
    <s v="Lloyd 1.5 Ton 5 Star Inverter Split AC, 2026 New Star Rated (6 in 1 Convertible, Cools Up To 54Â°C, DG Mode, Ice Clean, Smart 4 Way Swing, Turbo Cool, Installation Check, White, GLS18I5AGGGW)"/>
    <x v="9"/>
    <n v="43990"/>
    <n v="66990"/>
    <n v="0.34300000000000003"/>
    <n v="3.1"/>
    <n v="26"/>
    <n v="1"/>
    <b v="0"/>
    <b v="0"/>
    <b v="0"/>
    <b v="0"/>
    <d v="2026-06-05T00:00:00"/>
  </r>
  <r>
    <s v="B0GYT9CTX1"/>
    <s v="LG 1 Ton 5 Star, New star rated, Smart Inverter Split AC (Copper, AI Convertible 6-in-1 Cooling, Faster Cooling &amp;amp; Energy Saving, HD Filter with Anti-Virus Protection, Him Clean, AS-Q14YNZE, White)"/>
    <x v="9"/>
    <n v="42690"/>
    <n v="82390"/>
    <n v="0.48199999999999998"/>
    <m/>
    <n v="0"/>
    <n v="1"/>
    <b v="0"/>
    <b v="0"/>
    <b v="0"/>
    <b v="0"/>
    <d v="2026-06-05T00:00:00"/>
  </r>
  <r>
    <s v="B0H1S4RH9H"/>
    <s v="SWANKK WiFi Mini Hidden Spy Camera, 1080P HD, Night Vision, Motion Detection, Wireless Indoor Nanny Cam with Remote Viewing"/>
    <x v="10"/>
    <n v="599"/>
    <n v="1299"/>
    <n v="0.53900000000000003"/>
    <n v="3"/>
    <n v="2"/>
    <n v="1"/>
    <b v="0"/>
    <b v="0"/>
    <b v="0"/>
    <b v="0"/>
    <d v="2026-06-05T00:00:00"/>
  </r>
  <r>
    <s v="B0DQY9DPXR"/>
    <s v="Toy Imagine Kids Digital Camera Toy 3.0MP 1080P Video Camera with 2-Inch Screen &amp;amp; 32GB Capacity USB Rechargeable with Games,Filters,Time-Lapse Educational Birthday Gift for Boys &amp;amp; Girls Age 3â€“12(Blue)"/>
    <x v="10"/>
    <n v="611"/>
    <n v="999"/>
    <n v="0.38800000000000001"/>
    <n v="3.6"/>
    <n v="915"/>
    <n v="1"/>
    <b v="0"/>
    <b v="0"/>
    <b v="0"/>
    <b v="0"/>
    <d v="2026-06-05T00:00:00"/>
  </r>
  <r>
    <s v="B0F2GBXRYQ"/>
    <s v="Cason 48MP Digital Camera for Kids &amp;amp; Adults -Real Photo &amp;amp; Video Mini Camera for Photography 2.4â€ Rotating Screen, Built in Games Kids Cameras for 5-15 Years Girls &amp;amp; Boys with 8 GB Sd Card (Pink)"/>
    <x v="10"/>
    <n v="2499"/>
    <n v="4995"/>
    <n v="0.5"/>
    <n v="4.2"/>
    <n v="217"/>
    <n v="1"/>
    <b v="0"/>
    <b v="0"/>
    <b v="1"/>
    <b v="0"/>
    <d v="2026-06-05T00:00:00"/>
  </r>
  <r>
    <s v="B0BWK7KGNF"/>
    <s v="TECHNOVIEW Full HD Wi-Fi Wireless Security Camera 1080p Audio Video Live View Low Light Vision Motion Detection Video Recorder for Home Office. (IP Camera)"/>
    <x v="10"/>
    <n v="749"/>
    <n v="2999"/>
    <n v="0.75"/>
    <n v="3"/>
    <n v="1080"/>
    <n v="1"/>
    <b v="0"/>
    <b v="0"/>
    <b v="0"/>
    <b v="0"/>
    <d v="2026-06-05T00:00:00"/>
  </r>
  <r>
    <s v="B0G1C2TGWX"/>
    <s v="Storio Kids Digital Camera Toy 3.0MP 1080P HD Video Camera with 2-Inch Screen | USB Rechargeable Mini Camera | Educational Toy &amp;amp; Birthday Gift for Boys &amp;amp; Girls Age 3â€“12 | Supports 32GB SD Card - Blue"/>
    <x v="10"/>
    <n v="567"/>
    <n v="1399"/>
    <n v="0.59499999999999997"/>
    <n v="3.8"/>
    <n v="316"/>
    <n v="1"/>
    <b v="0"/>
    <b v="0"/>
    <b v="0"/>
    <b v="0"/>
    <d v="2026-06-05T00:00:00"/>
  </r>
  <r>
    <s v="B0FNRV6X18"/>
    <s v="CP PLUS 2MP Full HD Wi-Fi CCTV Camera for Home with Motion Tracking | Smart Detection Suite | Night Vision | Cloud Recording | View &amp;amp; Talk | Supports OK Google | CTC Cyber Secure | CP-E25Q"/>
    <x v="10"/>
    <n v="1999"/>
    <n v="2700"/>
    <n v="0.26"/>
    <n v="3.7"/>
    <n v="15051"/>
    <n v="1"/>
    <b v="0"/>
    <b v="0"/>
    <b v="0"/>
    <b v="1"/>
    <d v="2026-06-05T00:00:00"/>
  </r>
  <r>
    <s v="B0GLGLRD9Z"/>
    <s v="Codnida Spy Camera Pen HD Video Recording with Audio | Hidden Recording Pen for Meetings &amp;amp; Security | Portable Pen Camera with Long Battery Life | Discreet Spy Pen Camera for Indoor &amp;amp; Outdoor Use"/>
    <x v="10"/>
    <n v="1599"/>
    <n v="2799"/>
    <n v="0.42899999999999999"/>
    <n v="4.2"/>
    <n v="2585"/>
    <n v="1"/>
    <b v="0"/>
    <b v="0"/>
    <b v="0"/>
    <b v="0"/>
    <d v="2026-06-05T00:00:00"/>
  </r>
  <r>
    <s v="B0FL2P622N"/>
    <s v="CP PLUS 3MP Resolution Smart Wi-fi CCTV Home Security Camera | 360Â° View | Motion Tracking | 2-Way Talk | Cloud &amp;amp; SD Card Support | CTC Cyber Secure Tech | 15M Night Vision | CP-E31Q"/>
    <x v="10"/>
    <n v="2199"/>
    <n v="2800"/>
    <n v="0.215"/>
    <n v="3.8"/>
    <n v="294"/>
    <n v="1"/>
    <b v="0"/>
    <b v="0"/>
    <b v="0"/>
    <b v="1"/>
    <d v="2026-06-05T00:00:00"/>
  </r>
  <r>
    <s v="B0GZV2SYGM"/>
    <s v="Dr Vision 5MP Indoor WiFi Smart CCTV Camera for Home | 1080p HD | Color Night Vision | Motion Detection | Two Way Audio | Wireless Home Security Camera with Mobile App V380 Pro (CV Dual Lens)"/>
    <x v="10"/>
    <n v="1879"/>
    <n v="8999"/>
    <n v="0.79100000000000004"/>
    <n v="2.7"/>
    <n v="4"/>
    <n v="1"/>
    <b v="0"/>
    <b v="0"/>
    <b v="0"/>
    <b v="0"/>
    <d v="2026-06-05T00:00:00"/>
  </r>
  <r>
    <s v="B0G64G64YL"/>
    <s v="Qubo Smart Cam 360Â° 3MP [2026 Edition] by Hero Group | STQC Certified | AI Person Detection | Intruder Alarm | Color Night Vision | Two-Way Talk | Records Directly on Cloud | No SD Card Required"/>
    <x v="10"/>
    <n v="2490"/>
    <n v="3990"/>
    <n v="0.376"/>
    <n v="3.8"/>
    <n v="3495"/>
    <n v="1"/>
    <b v="0"/>
    <b v="0"/>
    <b v="0"/>
    <b v="0"/>
    <d v="2026-06-05T00:00:00"/>
  </r>
  <r>
    <s v="B0GNKW2XT6"/>
    <s v="Kids Digital Camera | 1080p Video &amp;amp; 3.0MP Photos | 2-Inch Screen, USB Rechargeable &amp;amp; Portable | Fun Mini Toy Camera for Boys &amp;amp; Girls Age 3â€“10 | Educational Birthday Gift"/>
    <x v="10"/>
    <n v="499"/>
    <n v="1999"/>
    <n v="0.75"/>
    <n v="3.9"/>
    <n v="12"/>
    <n v="1"/>
    <b v="0"/>
    <b v="0"/>
    <b v="0"/>
    <b v="0"/>
    <d v="2026-06-05T00:00:00"/>
  </r>
  <r>
    <s v="B0FH5G1Z7P"/>
    <s v="CP Plus 2.4MP IR Wired Bullet Outdoor Camera CP-URC-TC24PL3 Compatible with DVR only | 3.6mm Lens | 30 Meter Black &amp;amp; White Night Vision | IP67 | Analog HD CCTV Camera, White"/>
    <x v="10"/>
    <n v="923"/>
    <n v="3400"/>
    <n v="0.72899999999999998"/>
    <n v="3.9"/>
    <n v="280"/>
    <n v="15"/>
    <b v="0"/>
    <b v="0"/>
    <b v="0"/>
    <b v="0"/>
    <d v="2026-06-05T00:00:00"/>
  </r>
  <r>
    <s v="B0GLGSTCDP"/>
    <s v="DDLC 5MP Indoor WiFi Smart CCTV Camera for Home | 1080p HD | Color Night Vision | Motion Detection | Two Way Audio | Wireless Home Security Camera with Mobile App V380 Pro (Upro Dual Lens)"/>
    <x v="10"/>
    <n v="1989"/>
    <n v="3999"/>
    <n v="0.503"/>
    <n v="4.5999999999999996"/>
    <n v="14"/>
    <n v="1"/>
    <b v="0"/>
    <b v="0"/>
    <b v="0"/>
    <b v="0"/>
    <d v="2026-06-05T00:00:00"/>
  </r>
  <r>
    <s v="B0C8HCLQVC"/>
    <s v="Canon EOS R100 24.1 MP Mirrorless Camera (Black) with RF-S18-45mm f/4.5-6.3 is STM Optical Zoom Lens | 4k Video"/>
    <x v="10"/>
    <n v="42990"/>
    <n v="64995"/>
    <n v="0.33900000000000002"/>
    <n v="4"/>
    <n v="100"/>
    <n v="1"/>
    <b v="0"/>
    <b v="0"/>
    <b v="0"/>
    <b v="0"/>
    <d v="2026-06-05T00:00:00"/>
  </r>
  <r>
    <s v="B0C783YNW7"/>
    <s v="DJI Osmo Action 4 Standard Combo - 4K/120Fps Waterproof Action Digital Camera with A 1/1.3-Inch Sensor, 10-Bit &amp;amp; D-Log M Color Performance, Outdoor Digital Camera for Travel, Biking"/>
    <x v="10"/>
    <n v="24990"/>
    <n v="44999"/>
    <n v="0.44500000000000001"/>
    <n v="4.5999999999999996"/>
    <n v="4487"/>
    <n v="1"/>
    <b v="0"/>
    <b v="0"/>
    <b v="0"/>
    <b v="0"/>
    <d v="2026-06-05T00:00:00"/>
  </r>
  <r>
    <s v="B0CHZ1HF2Q"/>
    <s v="CADDLE &amp;amp; TOES Kids Camera for Girls Boys,Kids Selfie Camera 13MP 1080P HD Digital Video Camera for Toddler,Christmas Birthday Gifts for 4+ to15 Years Old Children (Pink)"/>
    <x v="10"/>
    <n v="548"/>
    <n v="1999"/>
    <n v="0.72599999999999998"/>
    <n v="3.4"/>
    <n v="372"/>
    <n v="1"/>
    <b v="0"/>
    <b v="0"/>
    <b v="0"/>
    <b v="0"/>
    <d v="2026-06-05T00:00:00"/>
  </r>
  <r>
    <s v="B0FH5H1144"/>
    <s v="CP PLUS 2.4MP Full HD IP Indoor Wired Dome Camera CP-URC-DC24PL3 Compatible with DVR only | 30 Meters IR Black &amp;amp; White Night Vision | 3.6mm Lens | Motion Detection, White"/>
    <x v="10"/>
    <n v="919"/>
    <n v="1900"/>
    <n v="0.51600000000000001"/>
    <n v="3.8"/>
    <n v="258"/>
    <n v="1"/>
    <b v="0"/>
    <b v="0"/>
    <b v="0"/>
    <b v="0"/>
    <d v="2026-06-05T00:00:00"/>
  </r>
  <r>
    <s v="B0FMRJZT33"/>
    <s v="CP PLUS 4MP Quad HD Smart Wi-Fi CCTV Camera | 360Â° Pan &amp;amp; Tilt | Press to Call | CTC Cyber Secure Tech | Smart Detection Suite | View &amp;amp; Talk | IR Night Vision | Cloud Recording | OK Google | CP-E44Q"/>
    <x v="10"/>
    <n v="2699"/>
    <n v="4600"/>
    <n v="0.41299999999999998"/>
    <n v="3.4"/>
    <n v="252"/>
    <n v="1"/>
    <b v="0"/>
    <b v="0"/>
    <b v="0"/>
    <b v="1"/>
    <d v="2026-06-05T00:00:00"/>
  </r>
  <r>
    <s v="B0FKMLFTY8"/>
    <s v="Sony Alpha ZV-E10K (Previously ZV-E10L) with Upgraded SELP1650 (Ver 2) Power Zoom Lens | 24.2 MP Interchangeable-Lens Mirrorless vlog Camera, Made for Creators |APS-C Sensor 4K Movie Recording-Black"/>
    <x v="10"/>
    <n v="63990"/>
    <n v="72990"/>
    <n v="0.123"/>
    <n v="4.5999999999999996"/>
    <n v="39"/>
    <n v="1"/>
    <b v="0"/>
    <b v="0"/>
    <b v="0"/>
    <b v="0"/>
    <d v="2026-06-05T00:00:00"/>
  </r>
  <r>
    <s v="B0FK4RND9C"/>
    <s v="CP PLUS 3MP Smart Wi-Fi CCTV Camera | 360Â° Pan &amp;amp; Tilt | CTC Cyber Secure Tech | View &amp;amp; Talk | Smart Detection Suite | Night Vision | Cloud Storage | Supports OK Google | CP-E35Q"/>
    <x v="10"/>
    <n v="2199"/>
    <n v="3500"/>
    <n v="0.372"/>
    <n v="3.3"/>
    <n v="598"/>
    <n v="1"/>
    <b v="0"/>
    <b v="0"/>
    <b v="0"/>
    <b v="1"/>
    <d v="2026-06-05T00:00:00"/>
  </r>
  <r>
    <s v="B0FHQ9Q53J"/>
    <s v="Toy Imagine Kids Digital Camera 1080p Video &amp;amp; 5.0MP Photos 2-Inch Screen, USB Rechargeable &amp;amp; Portable Fun Mini Toy Camera for Boys &amp;amp; Girls Age 3â€“10 Educational Birthday Gift(Blue)SD Card Not Included"/>
    <x v="10"/>
    <n v="589"/>
    <n v="799"/>
    <n v="0.26300000000000001"/>
    <n v="3.7"/>
    <n v="104"/>
    <n v="1"/>
    <b v="0"/>
    <b v="0"/>
    <b v="0"/>
    <b v="0"/>
    <d v="2026-06-05T00:00:00"/>
  </r>
  <r>
    <s v="B0GXZBY1GZ"/>
    <s v="WiFi Camera 360Â° Security Camera for Home Outdoor High HD Magnet Mini Spy WiFi Magnetic Live Stream Night Vision IP Wireless 1080P Audio Video Hidden CCTV Magne"/>
    <x v="10"/>
    <n v="899"/>
    <n v="4999"/>
    <n v="0.82"/>
    <n v="3.2"/>
    <n v="19"/>
    <n v="1"/>
    <b v="0"/>
    <b v="0"/>
    <b v="0"/>
    <b v="0"/>
    <d v="2026-06-05T00:00:00"/>
  </r>
  <r>
    <s v="B0G64NW2KQ"/>
    <s v="Qubo Smart 360Â° 3MP [2K] Wi-Fi Security Camera [2026 Edition] by Hero Group | Indoor CCTV Cam for Home | STQC Certified | AI Person Detection | Color Night Vision | SD&amp;amp;Cloud Storage (Pack of 2)"/>
    <x v="10"/>
    <n v="4990"/>
    <n v="7580"/>
    <n v="0.34200000000000003"/>
    <n v="3.8"/>
    <n v="168"/>
    <n v="1"/>
    <b v="0"/>
    <b v="0"/>
    <b v="0"/>
    <b v="0"/>
    <d v="2026-06-05T00:00:00"/>
  </r>
  <r>
    <s v="B0BCW1S7XR"/>
    <s v="insta360 X3 Action Camera, 1/2&amp;quot; Sensor, 5.7K 360 Capture, Optical Zoom 3X, 72 MP 360 Photo, 4K Single Lens Mode, Black"/>
    <x v="10"/>
    <n v="25990"/>
    <n v="51999"/>
    <n v="0.5"/>
    <n v="4.3"/>
    <n v="1524"/>
    <n v="1"/>
    <b v="0"/>
    <b v="0"/>
    <b v="0"/>
    <b v="0"/>
    <d v="2026-06-05T00:00:00"/>
  </r>
  <r>
    <s v="B0D1YH4B2R"/>
    <s v="DJI Osmo Action 5 Pro Standard Combo, Waterproof Camera with 1/1.3&amp;quot; Sensor, 4K/120fps Video, Subject Tracking, Stabilization, Dual OLED Touchscreens, Action Camera 4K Ideal for Sports, Vlog"/>
    <x v="10"/>
    <n v="35990"/>
    <n v="40990"/>
    <n v="0.122"/>
    <n v="4.5"/>
    <n v="1691"/>
    <n v="1"/>
    <b v="0"/>
    <b v="0"/>
    <b v="0"/>
    <b v="0"/>
    <d v="2026-06-05T00:00:00"/>
  </r>
  <r>
    <s v="B0DFY77JNM"/>
    <s v="Maizic Smarthome Dual Lens Mini Fox | 5+5MP WiFi CCTV Camera with PTZ &amp;amp; Fixed View | AI Motion Detection, Color Night Vision, Two-Way Audio, 360ï¿½ Coverage, App Remote Access"/>
    <x v="10"/>
    <n v="1697"/>
    <n v="4399"/>
    <n v="0.61399999999999999"/>
    <n v="3.5"/>
    <n v="714"/>
    <n v="1"/>
    <b v="0"/>
    <b v="0"/>
    <b v="0"/>
    <b v="0"/>
    <d v="2026-06-05T00:00:00"/>
  </r>
  <r>
    <s v="B0GXVQQK3P"/>
    <s v="DDLC 5MP Indoor WiFi Smart CCTV Camera for Home | 360Â° Pan Tilt | Color Night Vision | Motion Detection | Two Way Audio | Wireless Home Security Camera with Mobile App V380 Pro (Upro Dual Lens)"/>
    <x v="10"/>
    <n v="1989"/>
    <n v="3999"/>
    <n v="0.503"/>
    <n v="1.9"/>
    <n v="4"/>
    <n v="1"/>
    <b v="0"/>
    <b v="0"/>
    <b v="0"/>
    <b v="0"/>
    <d v="2026-06-05T00:00:00"/>
  </r>
  <r>
    <s v="B0G1XY42W7"/>
    <s v="1080P Body Camera Pen [Upgraded 2026] â€“ Body Cam with HD Video or Picture Taking, SD Card Storage, and Manual Control for Privacy Compliance"/>
    <x v="10"/>
    <n v="1649"/>
    <n v="2499"/>
    <n v="0.34"/>
    <n v="4.7"/>
    <n v="4"/>
    <n v="1"/>
    <b v="0"/>
    <b v="0"/>
    <b v="0"/>
    <b v="0"/>
    <d v="2026-06-05T00:00:00"/>
  </r>
  <r>
    <s v="B0CYGYCRH8"/>
    <s v="Qubo Smart 360Â° 3MP [2K] CCTV Camera | Wi-Fi Indoor Home Security Cam | STQC Certified | AI Person Detection | Automatic Alarm | App Alerts | NightPulse Vision | SD &amp;amp; Cloud Storage | Made in India"/>
    <x v="10"/>
    <n v="2490"/>
    <n v="4490"/>
    <n v="0.44500000000000001"/>
    <n v="3.6"/>
    <n v="5120"/>
    <n v="2"/>
    <b v="0"/>
    <b v="0"/>
    <b v="0"/>
    <b v="1"/>
    <d v="2026-06-05T00:00:00"/>
  </r>
  <r>
    <s v="B0DTK5596V"/>
    <s v="Sony New Alpha ILCE-6100X (Previously ILCE-6100Y) with Upgraded SELP1650 (Ver 2) Power Zoom Lens + SEL55210 Lens | 24.2 MP | APS-C Sensor | Fast Auto Focus | Tiltable LCD â€“ Black"/>
    <x v="10"/>
    <n v="76490"/>
    <n v="89990"/>
    <n v="0.15"/>
    <n v="4.5999999999999996"/>
    <n v="90"/>
    <n v="1"/>
    <b v="0"/>
    <b v="0"/>
    <b v="0"/>
    <b v="0"/>
    <d v="2026-06-05T00:00:00"/>
  </r>
  <r>
    <s v="B0CG19FGQ5"/>
    <s v="DJI Osmo Pocket 3 Creator Combo, Vlogging Camera with 1&amp;#x27;&amp;#x27; CMOS &amp;amp; 4K/120fps Video, 3-Axis Stabilization, Face/Object Tracking, Fast Focusing, Mic Included for Clear Sound, Small Camera for Photography"/>
    <x v="10"/>
    <n v="59134"/>
    <n v="74990"/>
    <n v="0.21099999999999999"/>
    <n v="4.4000000000000004"/>
    <n v="6218"/>
    <n v="1"/>
    <b v="0"/>
    <b v="0"/>
    <b v="0"/>
    <b v="0"/>
    <d v="2026-06-05T00:00:00"/>
  </r>
  <r>
    <s v="B0DJC4NBV8"/>
    <s v="Fujifilm X-M5 26.1MP APS-C X-Trans CMOS 4 with 15-45 f/3.5-5.6 Lens|Retro Style mirrorless Compact Travel Camera|6.2k vlogging|High Speed Recording FHD 240fps|Advance AF for Street/Lifestyle - Silver"/>
    <x v="10"/>
    <n v="88000"/>
    <n v="94999"/>
    <n v="7.3999999999999996E-2"/>
    <n v="4.5"/>
    <n v="143"/>
    <n v="1"/>
    <b v="0"/>
    <b v="0"/>
    <b v="0"/>
    <b v="0"/>
    <d v="2026-06-05T00:00:00"/>
  </r>
  <r>
    <s v="B0GKG3TLF3"/>
    <s v="Waitbird USB Charger Mini Hidden Camera 1080p Full HD Plug &amp;amp; Play Spy Cam | Secret Camera for Home Hidden &amp;amp; Office Use | Mini Spy Camera Works While Charging | Supports 256GB â€“ Security Surveillance"/>
    <x v="10"/>
    <n v="1599"/>
    <n v="3299"/>
    <n v="0.51500000000000001"/>
    <n v="4.3"/>
    <n v="4795"/>
    <n v="1"/>
    <b v="0"/>
    <b v="0"/>
    <b v="0"/>
    <b v="0"/>
    <d v="2026-06-05T00:00:00"/>
  </r>
  <r>
    <s v="B0BLLCJ963"/>
    <s v="KODAK PIXPRO AZ405-BK 20MP Digital Camera 40X Optical Zoom 24mm Wide Angle Lens Optical Image Stabilization 1080P Full HD Video 3&amp;quot; LCD Vlogging Camera (Black)"/>
    <x v="10"/>
    <n v="28499"/>
    <n v="39999"/>
    <n v="0.28799999999999998"/>
    <n v="4"/>
    <n v="1034"/>
    <n v="1"/>
    <b v="0"/>
    <b v="0"/>
    <b v="0"/>
    <b v="0"/>
    <d v="2026-06-05T00:00:00"/>
  </r>
  <r>
    <s v="B0GVJNKCTW"/>
    <s v="JB Supar 6MP Smart WiFi Dual Lens Outdoor PTZ CCTV Camera | 360Â° View | Full HD | Color Night Vision | Two Way Audio | Wireless Home Security Camera with Mobile App V380 Pro (Dual Lens PTZ)"/>
    <x v="10"/>
    <n v="2979"/>
    <n v="4999"/>
    <n v="0.40400000000000003"/>
    <n v="4"/>
    <n v="2"/>
    <n v="1"/>
    <b v="0"/>
    <b v="0"/>
    <b v="0"/>
    <b v="0"/>
    <d v="2026-06-05T00:00:00"/>
  </r>
  <r>
    <s v="B0GXYYQJ2M"/>
    <s v="Godrej Security Solutions EVE Pro 3 Indoor Wi-Fi CCTV Camera | New Launch | 3MP Night Vision | 360 View | Human Detection &amp;amp; Motion Tracking | 2-Way Talk | Up to 256GB SD Card Support"/>
    <x v="10"/>
    <n v="2410"/>
    <n v="2799"/>
    <n v="0.13900000000000001"/>
    <n v="2.7"/>
    <n v="16"/>
    <n v="1"/>
    <b v="0"/>
    <b v="0"/>
    <b v="0"/>
    <b v="0"/>
    <d v="2026-06-05T00:00:00"/>
  </r>
  <r>
    <s v="B09B84729K"/>
    <s v="Leica SL2-S Mirrorless Digital Camera with Vario-Elmarit-SL 24-70 f/2.8 ASPH Lens (Bundle)"/>
    <x v="10"/>
    <n v="1117486"/>
    <n v="1409912"/>
    <n v="0.20699999999999999"/>
    <n v="5"/>
    <n v="5"/>
    <n v="1"/>
    <b v="0"/>
    <b v="0"/>
    <b v="0"/>
    <b v="0"/>
    <d v="2026-06-05T00:00:00"/>
  </r>
  <r>
    <s v="B0FN4RBZ6G"/>
    <s v="Kids Instant Print Camera â€“ Mini Digital HD Photo &amp;amp; Video Camcorder with Games | Fun Learning Toy for Boys &amp;amp; Girls Ages 4-18 | Includes 2 Print Rolls â€“ Ideal Gift for Kids (Blue)"/>
    <x v="10"/>
    <n v="1678"/>
    <n v="3999"/>
    <n v="0.57999999999999996"/>
    <n v="3.7"/>
    <n v="70"/>
    <n v="1"/>
    <b v="0"/>
    <b v="0"/>
    <b v="0"/>
    <b v="0"/>
    <d v="2026-06-05T00:00:00"/>
  </r>
  <r>
    <s v="B07NF5PT84"/>
    <s v="Sony Alpha ILCE-6400M 24.2MP Mirrorless Digital SLR Camera (Black) with 18-135mm Zoom Lens | APS-C Sensor |Real-Time Eye Auto Focus | 4K Vlogging Camera | Tiltable LCD - Black"/>
    <x v="10"/>
    <n v="91490"/>
    <n v="116490"/>
    <n v="0.215"/>
    <n v="4.7"/>
    <n v="195"/>
    <n v="1"/>
    <b v="0"/>
    <b v="0"/>
    <b v="0"/>
    <b v="0"/>
    <d v="2026-06-05T00:00:00"/>
  </r>
  <r>
    <s v="B07VGHW91J"/>
    <s v="Sony Alpha ILCE-7RM4A Full-Frame 61.0MP Mirrorless Digital SLR Camera Body (4K Full Frame, Real-Time Eye Auto Focus, Real time Animal Eye AF, Tiltable LCD) - Black"/>
    <x v="10"/>
    <n v="264990"/>
    <n v="297990"/>
    <n v="0.111"/>
    <n v="4.5999999999999996"/>
    <n v="245"/>
    <n v="1"/>
    <b v="0"/>
    <b v="0"/>
    <b v="0"/>
    <b v="0"/>
    <d v="2026-06-05T00:00:00"/>
  </r>
  <r>
    <s v="B0GRH88VYL"/>
    <s v="DDLC 4+4MP Smart WiFi PTZ CCTV Camera for Home Indoor | 360Â° Pan &amp;amp; Tilt | Color Night Vision | Motion Detection | Two-Way Audio | Wireless Security Camera with Mobile App V380 Pro"/>
    <x v="10"/>
    <n v="1889"/>
    <n v="2999"/>
    <n v="0.37"/>
    <n v="3.9"/>
    <n v="12"/>
    <n v="1"/>
    <b v="0"/>
    <b v="0"/>
    <b v="0"/>
    <b v="0"/>
    <d v="2026-06-05T00:00:00"/>
  </r>
  <r>
    <s v="B0C3HXLYFS"/>
    <s v="HIKVISION 2Mp Indoor Wired Color Camera for Dvr Ds-2Ce5Ad0T-Itp Eco Bnc/Dc, White - 1080P"/>
    <x v="10"/>
    <n v="944"/>
    <n v="3200"/>
    <n v="0.70499999999999996"/>
    <n v="3.9"/>
    <n v="305"/>
    <n v="7"/>
    <b v="0"/>
    <b v="0"/>
    <b v="0"/>
    <b v="0"/>
    <d v="2026-06-05T00:00:00"/>
  </r>
  <r>
    <s v="B0B2KV6D97"/>
    <s v="Canon EOS R10 24.2MP RF-S18-150 F/3.5-6.3 IS STM Mirrorless Camera (APS-C Sendor, 4K UHD Video) for Wedding &amp;amp; Content Creators - Black"/>
    <x v="10"/>
    <n v="102890"/>
    <n v="119995"/>
    <n v="0.14299999999999999"/>
    <n v="4.7"/>
    <n v="268"/>
    <n v="1"/>
    <b v="0"/>
    <b v="0"/>
    <b v="0"/>
    <b v="0"/>
    <d v="2026-06-05T00:00:00"/>
  </r>
  <r>
    <s v="B0GKPNC2NR"/>
    <s v="Digital Cameras for Photography - 5K 75MP Vlogging Camera for YouTube WiFi - UHD Autofocus Vlog Camera 3&amp;quot; 180Â° Flip Screen with 18X Zoom - Travel YouTube with 32GB SD Card, 2 Batteries (CAM25)"/>
    <x v="10"/>
    <n v="7999"/>
    <n v="14999"/>
    <n v="0.46700000000000003"/>
    <n v="2.4"/>
    <n v="5"/>
    <n v="1"/>
    <b v="0"/>
    <b v="0"/>
    <b v="0"/>
    <b v="0"/>
    <d v="2026-06-05T00:00:00"/>
  </r>
  <r>
    <s v="B0CBQR21K3"/>
    <s v="Canon EOS R5 C Mirrorless Digital Camera - Black - Kit with RF24-70mm F2.8 L IS USM Lens"/>
    <x v="10"/>
    <n v="1005481"/>
    <n v="1055481"/>
    <n v="4.7E-2"/>
    <n v="5"/>
    <n v="1"/>
    <n v="1"/>
    <b v="0"/>
    <b v="0"/>
    <b v="0"/>
    <b v="0"/>
    <d v="2026-06-05T00:00:00"/>
  </r>
  <r>
    <s v="B0DW49ZB6Y"/>
    <s v="Canon EOS R1 24.2 MP Full-Frame Mirrorless Camera Body Only (6K RAW &amp;amp; 4K 120p Video) - Black"/>
    <x v="10"/>
    <n v="599999"/>
    <n v="630995"/>
    <n v="4.9000000000000002E-2"/>
    <n v="3.7"/>
    <n v="3"/>
    <n v="1"/>
    <b v="0"/>
    <b v="0"/>
    <b v="0"/>
    <b v="0"/>
    <d v="2026-06-05T00:00:00"/>
  </r>
  <r>
    <s v="B0GRVB1X7Z"/>
    <s v="DDLC 4MP Wireless PTZ Security Camera for Home Outdoor | Dual Antenna | 360Â° Pan Tilt | Night Vision | Two-Way Audio | Motion Detection | WiFi CCTV Camera with Mobile App V380 Pro (Mini PTZ)"/>
    <x v="10"/>
    <n v="1489"/>
    <n v="2499"/>
    <n v="0.40400000000000003"/>
    <n v="3.8"/>
    <n v="3"/>
    <n v="1"/>
    <b v="0"/>
    <b v="0"/>
    <b v="0"/>
    <b v="0"/>
    <d v="2026-06-05T00:00:00"/>
  </r>
  <r>
    <s v="B0FRRRNVPX"/>
    <s v="OBSBOT Tiny 2 Lite AI-Powered 4K PTZ Webcam with AI Tracking, 1/2â€³ Sensor, 1080p@60FPS HDR, Gesture Control, Dual Microphones, Auto Focus | Webcam for PC, Laptop, Streaming, Meetings &amp;amp; Video Calls"/>
    <x v="10"/>
    <n v="18970"/>
    <n v="32999"/>
    <n v="0.42499999999999999"/>
    <n v="4.4000000000000004"/>
    <n v="73"/>
    <n v="1"/>
    <b v="0"/>
    <b v="0"/>
    <b v="0"/>
    <b v="0"/>
    <d v="2026-06-05T00:00:00"/>
  </r>
  <r>
    <s v="B0F1XQX7M4"/>
    <s v="Storio Rechargeable Pocket Video Game for Kids 400 in 1 Retro Game Box Console Handheld Game Box with TV Output - Multicolor"/>
    <x v="11"/>
    <n v="581"/>
    <n v="1299"/>
    <n v="0.55300000000000005"/>
    <n v="3.4"/>
    <n v="1210"/>
    <n v="1"/>
    <b v="0"/>
    <b v="0"/>
    <b v="0"/>
    <b v="0"/>
    <d v="2026-06-05T00:00:00"/>
  </r>
  <r>
    <s v="B0GCTMJ81F"/>
    <s v="POWERNRI 2026 4K Gaming Console for TV | 20000+ Built-in Games | Wireless Dual Gamepads | Plug &amp;amp; Play Games| Family Fun Entertainment"/>
    <x v="11"/>
    <n v="1999"/>
    <n v="3999"/>
    <n v="0.5"/>
    <n v="4"/>
    <n v="10"/>
    <n v="1"/>
    <b v="0"/>
    <b v="0"/>
    <b v="0"/>
    <b v="0"/>
    <d v="2026-06-05T00:00:00"/>
  </r>
  <r>
    <s v="B0GYS94ZFJ"/>
    <s v="500 in 1 Handheld Game Console for Kids | Retro Video Game Player with Rechargeable Battery, TV Output, Portable Pocket Gaming Device with Controller | Classic Arcade Games for Boys &amp;amp; Girls"/>
    <x v="11"/>
    <n v="785"/>
    <n v="1299"/>
    <n v="0.39600000000000002"/>
    <n v="4.2"/>
    <n v="43"/>
    <n v="1"/>
    <b v="0"/>
    <b v="0"/>
    <b v="0"/>
    <b v="0"/>
    <d v="2026-06-05T00:00:00"/>
  </r>
  <r>
    <s v="B0GKFM3848"/>
    <s v="TOYTONIC Rechargeable Pocket Video Game Console for Kids 400-in-1 Retro Handheld Gaming Device with Built-in Classic Games, TV Output Support(Color Assorted)"/>
    <x v="11"/>
    <n v="580"/>
    <n v="999"/>
    <n v="0.41899999999999998"/>
    <n v="3.6"/>
    <n v="100"/>
    <n v="1"/>
    <b v="0"/>
    <b v="0"/>
    <b v="0"/>
    <b v="0"/>
    <d v="2026-06-05T00:00:00"/>
  </r>
  <r>
    <s v="B0GF8SBBY5"/>
    <s v="TOYTONIC R36S Retro Emulator Handheld Video Game Console, Built-in 22,000+ Games, 3.5 Inch IPS HD Screen,Up to 6 Hours Play Time,Rechargeable Portable Gaming Device,Gift for Boys &amp;amp; Girls (Assorted)"/>
    <x v="11"/>
    <n v="3397"/>
    <n v="5999"/>
    <n v="0.434"/>
    <m/>
    <n v="0"/>
    <n v="1"/>
    <b v="0"/>
    <b v="0"/>
    <b v="0"/>
    <b v="0"/>
    <d v="2026-06-05T00:00:00"/>
  </r>
  <r>
    <s v="B0DRSRVQ4C"/>
    <s v="TOYTONIC Handheld Gaming Console for Kids &amp;amp; Adults | 520 Classic Built-in Games | Retro Video Game Player | Portable, Rechargeable, TV Output | Toy &amp;amp; Gift for Boys Girls Ages 6-14 | Mini Game Box"/>
    <x v="11"/>
    <n v="756"/>
    <n v="999"/>
    <n v="0.24299999999999999"/>
    <m/>
    <n v="0"/>
    <n v="1"/>
    <b v="0"/>
    <b v="0"/>
    <b v="0"/>
    <b v="0"/>
    <d v="2026-06-05T00:00:00"/>
  </r>
  <r>
    <s v="B0H2RSS17L"/>
    <s v="2026 New 4K TV Game Con-Sole | Plug &amp;amp; Play R-etro Gaming Console with 2 Wireless Controllers | HDMI Video Game System for Kids &amp;amp; Family | ( Limited Kids Edition 2026 ) (NEW Limited Stock)"/>
    <x v="11"/>
    <n v="3399"/>
    <n v="5000"/>
    <n v="0.32"/>
    <n v="4.2"/>
    <n v="8"/>
    <n v="1"/>
    <b v="0"/>
    <b v="0"/>
    <b v="0"/>
    <b v="0"/>
    <d v="2026-06-05T00:00:00"/>
  </r>
  <r>
    <s v="B0GZ9V61JJ"/>
    <s v="2026 4K HDMI Gaming Console for TV, Plug and Play Video Game System with 2 Wireless Controllers, Built-in Retro Games, Family Entertainment for Kids &amp;amp; Adults (Special Edition 2026)"/>
    <x v="11"/>
    <n v="3499"/>
    <n v="5500"/>
    <n v="0.36399999999999999"/>
    <n v="5"/>
    <n v="6"/>
    <n v="1"/>
    <b v="0"/>
    <b v="0"/>
    <b v="0"/>
    <b v="0"/>
    <d v="2026-06-05T00:00:00"/>
  </r>
  <r>
    <s v="B0F88PKHKF"/>
    <s v="Wireless Retro Gaming Console for TV | HDMI Game Stick | Plug &amp;amp; Play | Dual Wireless Controllers | Classic Arcade Style Games | Family Gaming | Black"/>
    <x v="11"/>
    <n v="1995"/>
    <n v="4998"/>
    <n v="0.60099999999999998"/>
    <n v="3.7"/>
    <n v="413"/>
    <n v="1"/>
    <b v="0"/>
    <b v="0"/>
    <b v="0"/>
    <b v="0"/>
    <d v="2026-06-05T00:00:00"/>
  </r>
  <r>
    <s v="B0H2RMLPRT"/>
    <s v="2026 New 4K TV Game Con-Sole | Plug &amp;amp; Play R-etro Gaming Console | HDMI Retro Game Stick with Dual Wireless Controllers | Plug &amp;amp; Play Family Entertainment Device (Standard Edition)"/>
    <x v="11"/>
    <n v="3349"/>
    <n v="5000"/>
    <n v="0.33"/>
    <n v="4.2"/>
    <n v="8"/>
    <n v="1"/>
    <b v="0"/>
    <b v="0"/>
    <b v="0"/>
    <b v="0"/>
    <d v="2026-06-05T00:00:00"/>
  </r>
  <r>
    <s v="B0FQPHYPBJ"/>
    <s v="Domenico Retro Handheld Gaming Console, Video Game for Kids, SUP Game 3 Iinch Display, 400 Games, TV Compatible, Gaming Console for Kids and Adults (Color As Per Availability)"/>
    <x v="11"/>
    <n v="545"/>
    <n v="1999"/>
    <n v="0.72699999999999998"/>
    <n v="3.9"/>
    <n v="37"/>
    <n v="1"/>
    <b v="0"/>
    <b v="0"/>
    <b v="0"/>
    <b v="0"/>
    <d v="2026-06-05T00:00:00"/>
  </r>
  <r>
    <s v="B0CMJDVH1N"/>
    <s v="EWDGOES R36S Handheld Game Console 3.5 inch Preinstalled Emulator System White 32GB+64GB"/>
    <x v="11"/>
    <n v="3599"/>
    <n v="4990"/>
    <n v="0.27900000000000003"/>
    <n v="3.2"/>
    <n v="125"/>
    <n v="1"/>
    <b v="0"/>
    <b v="0"/>
    <b v="0"/>
    <b v="0"/>
    <d v="2026-06-05T00:00:00"/>
  </r>
  <r>
    <s v="B0GT1BSNLL"/>
    <s v="GS5Pro Retro Gaming Console - Wireless Controller Gamepad- 1080P HD Graphics, 64GB Storage,Video Game TV Stick for All Ages"/>
    <x v="11"/>
    <n v="4899"/>
    <n v="8999"/>
    <n v="0.45600000000000002"/>
    <n v="4.5999999999999996"/>
    <n v="10"/>
    <n v="1"/>
    <b v="0"/>
    <b v="0"/>
    <b v="1"/>
    <b v="0"/>
    <d v="2026-06-05T00:00:00"/>
  </r>
  <r>
    <s v="B0FYWSTM4J"/>
    <s v="SmartcamÂ® Retro Handheld Gaming Console for Kids &amp;amp; Adults | 520+ Built-in Classic Video Games | Portable Rechargeable Mini Game Player | TV Output | Gift for Boys &amp;amp; Girls Ages 6â€“14"/>
    <x v="11"/>
    <n v="673"/>
    <n v="2999"/>
    <n v="0.77600000000000002"/>
    <n v="3.4"/>
    <n v="17"/>
    <n v="1"/>
    <b v="0"/>
    <b v="0"/>
    <b v="0"/>
    <b v="0"/>
    <d v="2026-06-05T00:00:00"/>
  </r>
  <r>
    <s v="B0GQHL1W8Q"/>
    <s v="TOYTONIC Portable Retro Handheld Game Console for Kids | 3.5&amp;quot; Color Screen Classic Gaming with Preloaded 620 Games | Built-in Power Cell, TV Output | Video Games Player ð‹ð¢ð¦ð¢ð­ðžð ð“ð¨ððšð²"/>
    <x v="11"/>
    <n v="1208"/>
    <n v="1599"/>
    <n v="0.245"/>
    <n v="2.8"/>
    <n v="2"/>
    <n v="1"/>
    <b v="0"/>
    <b v="0"/>
    <b v="0"/>
    <b v="0"/>
    <d v="2026-06-05T00:00:00"/>
  </r>
  <r>
    <s v="B0FG2QY14B"/>
    <s v="R36 Ultra Retro Handheld Game Console-2025 Model with 128GB, 4-Inch IPS Screen, Over 30K Games Mini Video Games Console, Supports 23 Emulators, Linux-Based Retro Gaming Console (White)"/>
    <x v="11"/>
    <n v="4950"/>
    <n v="6990"/>
    <n v="0.29199999999999998"/>
    <n v="3.8"/>
    <n v="62"/>
    <n v="1"/>
    <b v="0"/>
    <b v="0"/>
    <b v="0"/>
    <b v="0"/>
    <d v="2026-06-05T00:00:00"/>
  </r>
  <r>
    <s v="B0DSVVCM9D"/>
    <s v="TOYTONIC Retro Handheld Gaming Console for Kids &amp;amp; Adults â€“ 666-In-1 Built-in Classic Video Games â€“ Rechargeable Game Console for Boys 7-14 Years â€“ TV Output â€“ Portable Toy Gift"/>
    <x v="11"/>
    <n v="1199"/>
    <n v="1599"/>
    <n v="0.25"/>
    <n v="3.9"/>
    <n v="267"/>
    <n v="1"/>
    <b v="0"/>
    <b v="0"/>
    <b v="0"/>
    <b v="0"/>
    <d v="2026-06-05T00:00:00"/>
  </r>
  <r>
    <s v="B0DKT7VBFM"/>
    <s v="Toy Imagine Retro Handheld Gaming Console for Kids | Portable Mini Gamepad with Builtin Screen | 520 Classic Games | Perfect Pocket Toy for Boys | Ideal for Ages 6+ | Inspired Fun"/>
    <x v="11"/>
    <n v="776"/>
    <n v="999"/>
    <n v="0.223"/>
    <n v="3.7"/>
    <n v="48"/>
    <n v="1"/>
    <b v="0"/>
    <b v="0"/>
    <b v="0"/>
    <b v="0"/>
    <d v="2026-06-05T00:00:00"/>
  </r>
  <r>
    <s v="B0G6ZZZ3XV"/>
    <s v="NextTech UHD Retro Handheld Game Console | Built-in Classic Games | Mini Portable Video Game Player for Kids &amp;amp; Adults | Plug &amp;amp; Play Gaming Device | Random Color"/>
    <x v="11"/>
    <n v="999"/>
    <n v="1999"/>
    <n v="0.5"/>
    <n v="4.3"/>
    <n v="6"/>
    <n v="1"/>
    <b v="0"/>
    <b v="0"/>
    <b v="0"/>
    <b v="0"/>
    <d v="2026-06-05T00:00:00"/>
  </r>
  <r>
    <s v="B0FPQQD7C7"/>
    <s v="Cubonic Rediscover Gaming Magic VividGo Mi7 â€“ Sleek Handheld Console, Huge 20k+ Game Library &amp;amp; Immersive HD Screen LED Display, 23+ Emulators, 64GB Storage, Rechargeable Battery (4.3, Inches)"/>
    <x v="11"/>
    <n v="6199"/>
    <n v="9999"/>
    <n v="0.38"/>
    <n v="3.7"/>
    <n v="18"/>
    <n v="1"/>
    <b v="0"/>
    <b v="0"/>
    <b v="0"/>
    <b v="0"/>
    <d v="2026-06-05T00:00:00"/>
  </r>
  <r>
    <s v="B0G38HMV1B"/>
    <s v="SNAPTRON Handheld Gaming Console for Kids &amp;amp; Adults| G7 Retro Game Console| 666-In-1 Built-in Classic Video Games| Portable Gaming Console| Rechargeable Game Console for Boys 7-14 Years| Retro Game Box"/>
    <x v="11"/>
    <n v="898"/>
    <n v="1349"/>
    <n v="0.33400000000000002"/>
    <n v="3.8"/>
    <n v="56"/>
    <n v="1"/>
    <b v="0"/>
    <b v="0"/>
    <b v="0"/>
    <b v="0"/>
    <d v="2026-06-05T00:00:00"/>
  </r>
  <r>
    <s v="B0FQDWFHWW"/>
    <s v="DOMENICO Wireless video games for tv gaming Retro gaming console with Game Stick Plug &amp;amp; Play TV Video Game Set for 2 player with 15Emulator for Kids &amp;amp; Old School Station Video Game - Black"/>
    <x v="11"/>
    <n v="1999"/>
    <n v="3999"/>
    <n v="0.5"/>
    <n v="3.2"/>
    <n v="35"/>
    <n v="1"/>
    <b v="0"/>
    <b v="0"/>
    <b v="0"/>
    <b v="0"/>
    <d v="2026-06-05T00:00:00"/>
  </r>
  <r>
    <s v="B0F2LZHDZ2"/>
    <s v="TOYTONIC G5 Handheld Game Console for Kids, Retro Gaming Device with 3.0&amp;quot; HD Screen, Built-in 500 Classic Games, AV Output, Random Color â€“ Portable Game Player for Boys &amp;amp; Girls, Multicolour"/>
    <x v="11"/>
    <n v="679"/>
    <n v="999"/>
    <n v="0.32"/>
    <n v="3.7"/>
    <n v="246"/>
    <n v="1"/>
    <b v="0"/>
    <b v="0"/>
    <b v="0"/>
    <b v="0"/>
    <d v="2026-06-05T00:00:00"/>
  </r>
  <r>
    <s v="B0GL7P1QL9"/>
    <s v="SMARTCAM M15 Game Stick 22000+ INBUILT Video Game Console Retro Classic 3D 4K Full HD with 2 Wireless Gamepad Plug &amp;amp; Play Video Game 64GB"/>
    <x v="11"/>
    <n v="2289"/>
    <n v="4999"/>
    <n v="0.54200000000000004"/>
    <n v="2.1"/>
    <n v="17"/>
    <n v="1"/>
    <b v="0"/>
    <b v="0"/>
    <b v="0"/>
    <b v="0"/>
    <d v="2026-06-05T00:00:00"/>
  </r>
  <r>
    <s v="B0GT9SCQZN"/>
    <s v="Maizic GS5 Pro 4K Retro Gaming Console | 30,000+ Games Built-in | 53 Emulators | Wireless HDMI Plug &amp;amp; Play Game System for TV, PC, Projector | Includes 2 Wireless Controllers"/>
    <x v="11"/>
    <n v="4799"/>
    <n v="8399"/>
    <n v="0.42899999999999999"/>
    <n v="2"/>
    <n v="2"/>
    <n v="1"/>
    <b v="0"/>
    <b v="0"/>
    <b v="0"/>
    <b v="0"/>
    <d v="2026-06-05T00:00:00"/>
  </r>
  <r>
    <s v="B0G1GYMRV4"/>
    <s v="TOYTONIC Portable Retro Handheld Game Console for Kids | Classic Gaming with Preloaded 620 Games | 3.5&amp;quot; Color Screen, Built-in Power Cell, TV Output | Video Games Player ð‹ð¢ð¦ð¢ð­ðžð ð“ð¨ððšð²"/>
    <x v="11"/>
    <n v="899"/>
    <n v="999"/>
    <n v="0.1"/>
    <n v="3"/>
    <n v="39"/>
    <n v="1"/>
    <b v="0"/>
    <b v="0"/>
    <b v="0"/>
    <b v="0"/>
    <d v="2026-06-05T00:00:00"/>
  </r>
  <r>
    <s v="B0G4NF9JQG"/>
    <s v="New 2026 Upgraded 4k TV Video Game Gaming System, Plug &amp;amp; Play Video TV Games HD with Wireless 2 Controllers for Men/Women/Girls/Boys/Adult/Kids"/>
    <x v="11"/>
    <n v="2299"/>
    <n v="3999"/>
    <n v="0.42499999999999999"/>
    <n v="3.4"/>
    <n v="3"/>
    <n v="1"/>
    <b v="0"/>
    <b v="0"/>
    <b v="0"/>
    <b v="0"/>
    <d v="2026-06-05T00:00:00"/>
  </r>
  <r>
    <s v="B0D8VVH9CS"/>
    <s v="NextTech P5 4K Retro Game Console | Portable Handheld Gaming Device | Built-in Classic Games | HDMI TV Output | Plug &amp;amp; Play Video Game Stick for Kids, Adults &amp;amp; Family Entertainment"/>
    <x v="11"/>
    <n v="899"/>
    <n v="1999"/>
    <n v="0.55000000000000004"/>
    <n v="3.6"/>
    <n v="17"/>
    <n v="1"/>
    <b v="0"/>
    <b v="0"/>
    <b v="0"/>
    <b v="0"/>
    <d v="2026-06-05T00:00:00"/>
  </r>
  <r>
    <s v="B0F6N212VV"/>
    <s v="VikriDA Handheld Game Players | 4.3In X7 Video Game Console | Double Rocker 8GB Memory Built in 10000 Games MP5 Multifunctional Inbuilt Camera"/>
    <x v="11"/>
    <n v="3298"/>
    <n v="7999"/>
    <n v="0.58799999999999997"/>
    <n v="3"/>
    <n v="30"/>
    <n v="1"/>
    <b v="0"/>
    <b v="0"/>
    <b v="0"/>
    <b v="0"/>
    <d v="2026-06-05T00:00:00"/>
  </r>
  <r>
    <s v="B09GPGJZN5"/>
    <s v="GSH Wireless 4K Video Game Console Stick with built-in Retro Classic Games + Gamepads"/>
    <x v="11"/>
    <n v="1899"/>
    <n v="3999"/>
    <n v="0.52500000000000002"/>
    <n v="3.2"/>
    <n v="113"/>
    <n v="1"/>
    <b v="0"/>
    <b v="0"/>
    <b v="0"/>
    <b v="0"/>
    <d v="2026-06-05T00:00:00"/>
  </r>
  <r>
    <s v="B0D4J24X5C"/>
    <s v="VikriDA G5 500-in-1 Retro Handheld Game Console for Kids â€“ 2 Players Classic TV-Compatible Game Box with Controller â€“ Multicolor"/>
    <x v="11"/>
    <n v="797"/>
    <n v="1999"/>
    <n v="0.60099999999999998"/>
    <n v="3.4"/>
    <n v="133"/>
    <n v="1"/>
    <b v="0"/>
    <b v="0"/>
    <b v="0"/>
    <b v="0"/>
    <d v="2026-06-05T00:00:00"/>
  </r>
  <r>
    <s v="B0FPQM4CCB"/>
    <s v="Zepplay Retro Game Stick 4K Plug &amp;amp; Play HDMI Console for TV | 21,000+ Preloaded Retro-Style Games | Dual Wireless Controllers | 64GB Card | Gaming Console for Kids &amp;amp; Family Entertainment"/>
    <x v="11"/>
    <n v="2499"/>
    <n v="4999"/>
    <n v="0.5"/>
    <n v="3.2"/>
    <n v="127"/>
    <n v="1"/>
    <b v="0"/>
    <b v="0"/>
    <b v="0"/>
    <b v="0"/>
    <d v="2026-06-05T00:00:00"/>
  </r>
  <r>
    <s v="B0GTNSXTDZ"/>
    <s v="ZORBESÂ® Hard EVA Carrying Case for Retro Handheld Game Console, Shockproof Protective Travel Storage Bag Portable Retro Gaming Console Case with Mesh Pocket &amp;amp; Wrist Strap"/>
    <x v="11"/>
    <n v="631"/>
    <n v="899"/>
    <n v="0.29799999999999999"/>
    <m/>
    <n v="0"/>
    <n v="1"/>
    <b v="0"/>
    <b v="0"/>
    <b v="0"/>
    <b v="0"/>
    <d v="2026-06-05T00:00:00"/>
  </r>
  <r>
    <s v="B0FSDNXVG8"/>
    <s v="ASUS ROG XBOX Ally (2025), AMD Ryzen Z2 A Processor,16GB RAM, 512GB SSD, 7&amp;quot;/17.8cm, FHD, Touchscreen,120Hz, 500 nits, Windows 11 Home, White, 670g, RC73YA-NH010W,AMD Radeon Graphics,Gaming Handheld PC"/>
    <x v="11"/>
    <n v="59990"/>
    <n v="83990"/>
    <n v="0.28599999999999998"/>
    <n v="4.3"/>
    <n v="36"/>
    <n v="1"/>
    <b v="0"/>
    <b v="0"/>
    <b v="0"/>
    <b v="0"/>
    <d v="2026-06-05T00:00:00"/>
  </r>
  <r>
    <s v="B0H36W8FDH"/>
    <s v="400 in 1 Handheld Game Console for Kids | 3.0 Inch Screen | Rechargeable Battery | TV Output | 2 Player Retro Gaming Console"/>
    <x v="11"/>
    <n v="649"/>
    <n v="1599"/>
    <n v="0.59399999999999997"/>
    <m/>
    <n v="0"/>
    <n v="1"/>
    <b v="0"/>
    <b v="0"/>
    <b v="0"/>
    <b v="0"/>
    <d v="2026-06-05T00:00:00"/>
  </r>
  <r>
    <s v="B0GZSGRF2V"/>
    <s v="J36 Ultra Handheld Gaming Console with | WiFi &amp;amp; YouTube |3.5 Inch IPS HD Display, 64 GB, 30,000+ Games, Rechargeable Battery 20+ Emulator Hand Video Game, RGB joystick lighting, Built-in YouTube support (Orange)"/>
    <x v="11"/>
    <n v="4499"/>
    <n v="6990"/>
    <n v="0.35599999999999998"/>
    <n v="5"/>
    <n v="1"/>
    <n v="1"/>
    <b v="0"/>
    <b v="0"/>
    <b v="0"/>
    <b v="0"/>
    <d v="2026-06-05T00:00:00"/>
  </r>
  <r>
    <s v="B0GJ5D3M5L"/>
    <s v="POWERNRI 2026 Classic Game Box R36S Handheld Gaming Console with 10000+ Retro Games, 3.5&amp;quot; Display, Dual Joysticks, Rechargeable Battery for Kids &amp;amp; Adults"/>
    <x v="11"/>
    <n v="3999"/>
    <n v="9999"/>
    <n v="0.6"/>
    <n v="4.5999999999999996"/>
    <n v="4"/>
    <n v="1"/>
    <b v="0"/>
    <b v="0"/>
    <b v="0"/>
    <b v="0"/>
    <d v="2026-06-05T00:00:00"/>
  </r>
  <r>
    <s v="B0FFZKFRDH"/>
    <s v="Goyal&amp;#x27;s 500 in 1 - TV Compatible Classical Handheld G5 Video Games for Kids with Many Fun and Exciting Games - Multicolour (Big Screen - 2.8 Inches)"/>
    <x v="11"/>
    <n v="599"/>
    <n v="2499"/>
    <n v="0.76"/>
    <n v="3.1"/>
    <n v="45"/>
    <n v="1"/>
    <b v="0"/>
    <b v="0"/>
    <b v="0"/>
    <b v="0"/>
    <d v="2026-06-05T00:00:00"/>
  </r>
  <r>
    <s v="B0G5GS24GN"/>
    <s v="Casaquin R36S Retro Handheld Gaming Device, 64GB Storage with 15000+ Built-in Games, 3.5 Inch IPS Screen, Portable Linux Gaming System, Rechargeable Battery"/>
    <x v="11"/>
    <n v="4255"/>
    <n v="5999"/>
    <n v="0.29099999999999998"/>
    <n v="4"/>
    <n v="1"/>
    <n v="1"/>
    <b v="0"/>
    <b v="0"/>
    <b v="0"/>
    <b v="0"/>
    <d v="2026-06-05T00:00:00"/>
  </r>
  <r>
    <s v="B0FPFXCKF1"/>
    <s v="VGRASSP Two Player 400 in 1 Handheld Video Game Console for Kids â€“ Retro Portable Console with Built-in Classic Games, Rechargeable Battery, Gift for Boys &amp;amp; Girls - Multicolor"/>
    <x v="11"/>
    <n v="679"/>
    <n v="1299"/>
    <n v="0.47699999999999998"/>
    <n v="3.5"/>
    <n v="25"/>
    <n v="1"/>
    <b v="0"/>
    <b v="0"/>
    <b v="0"/>
    <b v="0"/>
    <d v="2026-06-05T00:00:00"/>
  </r>
  <r>
    <s v="B0DYKCD2GV"/>
    <s v="R36MAX Retro Handheld Game Console, 4.0 inch IPS Screen, More Than 20 Emulator and 18000+ Games, Portable Hand Held Open Source Linux System Video Game Console (128Gb Translucent Blue)"/>
    <x v="11"/>
    <n v="4985"/>
    <n v="9990"/>
    <n v="0.501"/>
    <n v="4"/>
    <n v="69"/>
    <n v="1"/>
    <b v="0"/>
    <b v="0"/>
    <b v="0"/>
    <b v="0"/>
    <d v="2026-06-05T00:00:00"/>
  </r>
  <r>
    <s v="B0FNKLG46G"/>
    <s v="2025 New Edition | Wireless for TV HDMI Gaming Plug &amp;amp; Play Video Game 4K HD Game Stick| Wireless Stick with Game Built-in 22,000+ Games &amp;amp; 64Gb, 23 Emu. TV Gaming Console 5 Years to 17 Years (Kids)"/>
    <x v="11"/>
    <n v="1899"/>
    <n v="3999"/>
    <n v="0.52500000000000002"/>
    <n v="3"/>
    <n v="2"/>
    <n v="1"/>
    <b v="0"/>
    <b v="0"/>
    <b v="0"/>
    <b v="0"/>
    <d v="2026-06-05T00:00:00"/>
  </r>
  <r>
    <s v="B0GPCXQM4Y"/>
    <s v="Parteet Rechargeable Pocket Video Game for Kids 400 in 1 Retro Game Box Console Handheld Game Box with TV Output - (Color and Design Will be Send as per Stock)"/>
    <x v="11"/>
    <n v="525"/>
    <n v="999"/>
    <n v="0.47399999999999998"/>
    <n v="3"/>
    <n v="5"/>
    <n v="1"/>
    <b v="0"/>
    <b v="0"/>
    <b v="0"/>
    <b v="0"/>
    <d v="2026-06-05T00:00:00"/>
  </r>
  <r>
    <s v="B0GZSBDYNF"/>
    <s v="J36 Ultra Handheld Gaming Console with | WiFi &amp;amp; YouTube |3.5 Inch IPS HD Display, 64 GB, 30,000+ Games, Rechargeable Battery 20+ Emulator Hand Video Game, RGB joystick lighting, Built-in YouTube support (Black)"/>
    <x v="11"/>
    <n v="4499"/>
    <n v="6990"/>
    <n v="0.35599999999999998"/>
    <n v="5"/>
    <n v="1"/>
    <n v="1"/>
    <b v="0"/>
    <b v="0"/>
    <b v="0"/>
    <b v="0"/>
    <d v="2026-06-05T00:00:00"/>
  </r>
  <r>
    <s v="B0FYQG2KGX"/>
    <s v="XF40H Handheld Game Console, 64GB Retro Gaming Device with 4.0 Inch 4K HD IPS Screen, 20000+ Preloaded Games, Linux System, Inbuilt WiFi (Black)"/>
    <x v="11"/>
    <n v="4990"/>
    <n v="6990"/>
    <n v="0.28599999999999998"/>
    <n v="3.5"/>
    <n v="2"/>
    <n v="1"/>
    <b v="0"/>
    <b v="0"/>
    <b v="0"/>
    <b v="0"/>
    <d v="2026-06-05T00:00:00"/>
  </r>
  <r>
    <s v="B0FMRF49MG"/>
    <s v="2026 Wireless TV Game Console Stick 4K, with Built-in 9+ Emulators, 21,000+ Games, 4k Hdmi Output &amp;amp; 2.4GHz Controller, Nostalgic Gaming I Retro Game I (for All Kids Edition)"/>
    <x v="11"/>
    <n v="2539"/>
    <n v="2999"/>
    <n v="0.153"/>
    <n v="2.6"/>
    <n v="9"/>
    <n v="1"/>
    <b v="0"/>
    <b v="0"/>
    <b v="0"/>
    <b v="0"/>
    <d v="2026-06-05T00:00:00"/>
  </r>
  <r>
    <s v="B0GHX1T4QN"/>
    <s v="Domenico Retro Handheld Gaming Console, Video Game for Kids, 3 Iinch Display, 400 Games, TV Compatible, Gaming Console for Kids and Adults (Color As Per Availability)"/>
    <x v="11"/>
    <n v="545"/>
    <n v="1999"/>
    <n v="0.72699999999999998"/>
    <n v="4"/>
    <n v="6"/>
    <n v="1"/>
    <b v="0"/>
    <b v="0"/>
    <b v="0"/>
    <b v="0"/>
    <d v="2026-06-05T00:00:00"/>
  </r>
  <r>
    <s v="B0GJ5HB23T"/>
    <s v="Retro Gaming Console R36S Handheld with 10000+ Preloaded Games, 3200mAh Battery, 4K Ultra HD Output, Portable Game Box for Travel &amp;amp; Home"/>
    <x v="11"/>
    <n v="3999"/>
    <n v="9999"/>
    <n v="0.6"/>
    <n v="5"/>
    <n v="2"/>
    <n v="1"/>
    <b v="0"/>
    <b v="0"/>
    <b v="0"/>
    <b v="0"/>
    <d v="2026-06-05T00:00:00"/>
  </r>
  <r>
    <s v="B0FPQLJGYN"/>
    <s v="Cubonic VividGo MI7 Portable Gaming Console, All-in-One Gaming Powerhouse, 4.3-Inch HD Display, 20000+ Pre-Installed Games, Dual Joysticks, Expandable Storage, Multimedia Hub"/>
    <x v="11"/>
    <n v="5999"/>
    <n v="10999"/>
    <n v="0.45500000000000002"/>
    <n v="5"/>
    <n v="1"/>
    <n v="1"/>
    <b v="0"/>
    <b v="0"/>
    <b v="0"/>
    <b v="0"/>
    <d v="2026-06-05T00:00:00"/>
  </r>
  <r>
    <s v="B0FCYRXY9M"/>
    <s v="VikriDA G7 Retro 3.5-Inch LCD Color Screen Handheld Game with Gamepad Support Console Mini Ultra-Thin 666 Built-in Games Player Gift for Kids - Multicolor"/>
    <x v="11"/>
    <n v="1289"/>
    <n v="1999"/>
    <n v="0.35499999999999998"/>
    <n v="4"/>
    <n v="126"/>
    <n v="1"/>
    <b v="0"/>
    <b v="0"/>
    <b v="0"/>
    <b v="0"/>
    <d v="2026-06-05T00:00:00"/>
  </r>
  <r>
    <s v="B0FPFYXJGW"/>
    <s v="VGRASSP Two Player 400 in 1 Handheld Video Game Console for Kids â€“ Retro Portable Console with Built-in Classic Games, Rechargeable Battery, Gift for Boys &amp;amp; Girls - Multicolor"/>
    <x v="11"/>
    <n v="679"/>
    <n v="1999"/>
    <n v="0.66"/>
    <n v="3.3"/>
    <n v="60"/>
    <n v="1"/>
    <b v="0"/>
    <b v="0"/>
    <b v="0"/>
    <b v="0"/>
    <d v="2026-06-05T00:00:00"/>
  </r>
  <r>
    <s v="B0CPPJMC54"/>
    <s v="NextTech 2026 Retro Handheld Console with 3.5&amp;quot; HD Display | Plug &amp;amp; Play Portable Gaming Device | Built-in Classic Arcade Games | Compact Mini Game Console for Kids, Teens &amp;amp; Adults"/>
    <x v="11"/>
    <n v="3999"/>
    <n v="6999"/>
    <n v="0.42899999999999999"/>
    <n v="3.4"/>
    <n v="37"/>
    <n v="1"/>
    <b v="0"/>
    <b v="0"/>
    <b v="0"/>
    <b v="0"/>
    <d v="2026-06-05T00:00:00"/>
  </r>
  <r>
    <s v="B0G8JRLG9D"/>
    <s v="POWERNRI X7 Handheld Game Console with 10000+ Built-in Retro Games, Portable PSP Style Gaming Device, 8GB Memory, MP5 Multimedia Player for Kids &amp;amp; Adults"/>
    <x v="11"/>
    <n v="3999"/>
    <n v="7999"/>
    <n v="0.5"/>
    <n v="3.6"/>
    <n v="5"/>
    <n v="1"/>
    <b v="0"/>
    <b v="0"/>
    <b v="0"/>
    <b v="0"/>
    <d v="2026-06-05T00:00:00"/>
  </r>
  <r>
    <s v="B0H1H33KGP"/>
    <s v="Casaquin GS5 Pro 4K Retro Video Game Console for TV | 22,000+ Built-in Games | 23 Emulators | Plug &amp;amp; Play Gaming Stick | Dual Wireless Controllers | 4K Ultra HD HDMI Game Console for Kids &amp;amp; Adults"/>
    <x v="11"/>
    <n v="5999"/>
    <n v="9999"/>
    <n v="0.4"/>
    <n v="5"/>
    <n v="1"/>
    <n v="1"/>
    <b v="0"/>
    <b v="0"/>
    <b v="0"/>
    <b v="0"/>
    <d v="2026-06-05T00:00:00"/>
  </r>
  <r>
    <s v="B0FP1KZR2S"/>
    <s v="VGRASSP Two Player 400 in 1 Handheld Video Game Console for Kids â€“ Retro Portable Console with Built-in Classic Games, Rechargeable Battery, Gift for Boys &amp;amp; Girls - Color As Per Stock"/>
    <x v="11"/>
    <n v="679"/>
    <n v="1999"/>
    <n v="0.66"/>
    <n v="3.3"/>
    <n v="106"/>
    <n v="1"/>
    <b v="0"/>
    <b v="0"/>
    <b v="0"/>
    <b v="0"/>
    <d v="2026-06-05T00:00:00"/>
  </r>
  <r>
    <s v="B0FR451Q6T"/>
    <s v="Cubonic CrystalPlay R36S Retro Gaming Console, Transparent PixelGlass, 3.5-Inch LCD Screen, RK3326 Quad-Core, 15000+ Games, Dual Joystick, Support MAX 256GB Storage, 3000mAh Battery (black)"/>
    <x v="11"/>
    <n v="3998"/>
    <n v="7999"/>
    <n v="0.5"/>
    <n v="3.5"/>
    <n v="11"/>
    <n v="1"/>
    <b v="0"/>
    <b v="0"/>
    <b v="0"/>
    <b v="0"/>
    <d v="2026-06-05T00:00:00"/>
  </r>
  <r>
    <s v="B0GZLQ5L55"/>
    <s v="gamesoul R50S Retro Game Console, 5 Inch Emulator System, 64 GB, 15000+ Preinstalled Video Games"/>
    <x v="11"/>
    <n v="4930"/>
    <n v="9990"/>
    <n v="0.50700000000000001"/>
    <m/>
    <n v="0"/>
    <n v="1"/>
    <b v="0"/>
    <b v="0"/>
    <b v="0"/>
    <b v="0"/>
    <d v="2026-06-05T00:00:00"/>
  </r>
  <r>
    <s v="B0FJ8C5GGS"/>
    <s v="Maizic Smarthome G5 500 in 1 Retro Game Box Only for 1 Player, 3 Inch Display, Mini Handheld Classic Games, Built-in Games Rechargeable, Portable, Video Game for Kids (Green)"/>
    <x v="11"/>
    <n v="599"/>
    <n v="2000"/>
    <n v="0.7"/>
    <n v="4.2"/>
    <n v="6"/>
    <n v="1"/>
    <b v="0"/>
    <b v="0"/>
    <b v="0"/>
    <b v="0"/>
    <d v="2026-06-05T00:00:00"/>
  </r>
  <r>
    <s v="B0G3H32FGQ"/>
    <s v="SMARTCAM 3.0 Inch Portable Handheld Video Game Console with Preloaded Games, Slim Gaming Player for Kids, Fun Gift Option"/>
    <x v="11"/>
    <n v="589"/>
    <n v="1999"/>
    <n v="0.70499999999999996"/>
    <m/>
    <n v="0"/>
    <n v="1"/>
    <b v="0"/>
    <b v="0"/>
    <b v="0"/>
    <b v="0"/>
    <d v="2026-06-05T00:00:00"/>
  </r>
  <r>
    <s v="B0FMSMSWH2"/>
    <s v="New World Rechargeable Pocket Video Game for Kids, Retro Video Game Box Handheld Console Game Box with TV Output"/>
    <x v="11"/>
    <n v="799"/>
    <m/>
    <m/>
    <n v="3.4"/>
    <n v="11"/>
    <n v="2"/>
    <b v="0"/>
    <b v="0"/>
    <b v="0"/>
    <b v="0"/>
    <d v="2026-06-05T00:00:00"/>
  </r>
  <r>
    <s v="B0GXZ7PMH9"/>
    <s v="CHG Handheld Video Game Console for Kids, Built-in Retro Games | 400 in 1 Console | Indoor Games for Kids Ages 7 to 15 | Gift for Boys and Girls | Portable Fun for Travel and Home"/>
    <x v="11"/>
    <n v="599"/>
    <n v="1999"/>
    <n v="0.7"/>
    <m/>
    <n v="0"/>
    <n v="1"/>
    <b v="0"/>
    <b v="0"/>
    <b v="0"/>
    <b v="0"/>
    <d v="2026-06-05T00:00:00"/>
  </r>
  <r>
    <s v="B09YH82G14"/>
    <s v="VGRASSP 400 in 1 Mini Video Game Toy for Kids - Portable Retro Handheld Game Console with Rechargeable Battery - AV Output TV Compatible - Color and Design As Per Stock (Modern) (Classic)"/>
    <x v="11"/>
    <n v="521"/>
    <n v="1299"/>
    <n v="0.59899999999999998"/>
    <n v="3.4"/>
    <n v="2323"/>
    <n v="1"/>
    <b v="0"/>
    <b v="0"/>
    <b v="0"/>
    <b v="0"/>
    <d v="2026-06-05T00:00:00"/>
  </r>
  <r>
    <s v="B0GRBT3XRX"/>
    <s v="Smartcam R36S Handheld Gaming Console with 3.5â€ HD Screen | 15000+ Retro Games | 21 Emulators | Dual Joystick | 3500mAh Battery | Save &amp;amp; Load | Portable Retro Game Player"/>
    <x v="11"/>
    <n v="3519"/>
    <n v="6999"/>
    <n v="0.497"/>
    <n v="3"/>
    <n v="2"/>
    <n v="1"/>
    <b v="0"/>
    <b v="0"/>
    <b v="0"/>
    <b v="0"/>
    <d v="2026-06-05T00:00:00"/>
  </r>
  <r>
    <s v="B0GWM9WT9H"/>
    <s v="Kidsmate Handheld Gaming Console Video Game for Kids with 666 Built-in Retro Games | Rechargeable Battery, Compact Design with TV Connectivity for Big Screen Play | Ideal for Fun &amp;amp; Learning (Green)"/>
    <x v="11"/>
    <n v="1099"/>
    <n v="2999"/>
    <n v="0.63400000000000001"/>
    <n v="3.6"/>
    <n v="18"/>
    <n v="1"/>
    <b v="0"/>
    <b v="0"/>
    <b v="0"/>
    <b v="0"/>
    <d v="2026-06-05T00:00:00"/>
  </r>
  <r>
    <s v="B0GG6H42F5"/>
    <s v="(New) Wireless Retro Game Console Stick 4K Stick with Built-in 9+ Emulators 21,000+ Games, 4k Hdmi Output &amp;amp; 2.4GHz Wireless Controller, Retro Game Emulators, Plug &amp;amp; Play TV Video Games for All"/>
    <x v="11"/>
    <n v="2549"/>
    <n v="6999"/>
    <n v="0.63600000000000001"/>
    <n v="3.7"/>
    <n v="29"/>
    <n v="1"/>
    <b v="0"/>
    <b v="0"/>
    <b v="0"/>
    <b v="0"/>
    <d v="2026-06-05T00:00:00"/>
  </r>
  <r>
    <s v="B0GPM6198K"/>
    <s v="M22 Special Edition Retro Gaming Console - Wireless Controller Gamepad- 1080P HD Graphics, 64GB Storage,Video Game TV Stick for All Ages"/>
    <x v="11"/>
    <n v="3699"/>
    <n v="6999"/>
    <n v="0.47099999999999997"/>
    <n v="3.4"/>
    <n v="14"/>
    <n v="1"/>
    <b v="0"/>
    <b v="0"/>
    <b v="0"/>
    <b v="0"/>
    <d v="2026-06-05T00:00:00"/>
  </r>
  <r>
    <s v="B0G6DN6W5R"/>
    <s v="Cubonic 7&amp;quot; Full HD Screen Linux System Retro Handheld Gaming Console 64GB Storage, Support 30+ Emulator Games with HDMI Output Wireless Dual Remote Controller (White)"/>
    <x v="11"/>
    <n v="9499"/>
    <n v="17999"/>
    <n v="0.47199999999999998"/>
    <m/>
    <n v="0"/>
    <n v="1"/>
    <b v="0"/>
    <b v="0"/>
    <b v="0"/>
    <b v="0"/>
    <d v="2026-06-05T00:00:00"/>
  </r>
  <r>
    <s v="B0FPQJLZ5Q"/>
    <s v="Cubonic Mi7 Portable Gaming Console, Beige, 4.3&amp;quot; HD Display, 20000+ Preloaded Retro Games, Built-in Stereo Speakers, Expandable Storage, Classic Controls, Long Battery Life (VividGo Mi7)"/>
    <x v="11"/>
    <n v="6199"/>
    <n v="9999"/>
    <n v="0.38"/>
    <n v="3.3"/>
    <n v="7"/>
    <n v="1"/>
    <b v="0"/>
    <b v="0"/>
    <b v="0"/>
    <b v="0"/>
    <d v="2026-06-05T00:00:00"/>
  </r>
  <r>
    <s v="B00E9891EK"/>
    <s v="Enter Usb Game Pad With Vibration E-Gpv, PC, Gamepad"/>
    <x v="11"/>
    <n v="358"/>
    <n v="750"/>
    <n v="0.52300000000000002"/>
    <n v="3.4"/>
    <n v="3595"/>
    <n v="1"/>
    <b v="0"/>
    <b v="0"/>
    <b v="0"/>
    <b v="0"/>
    <d v="2026-06-05T00:00:00"/>
  </r>
  <r>
    <s v="B0GRVX4TDV"/>
    <s v="400 in 1 Mini Retro Handheld Game Console for Kids, Portable Video Game Toy with Rechargeable Battery, AV Output TV Compatible Classic Arcade Gaming Device (Multicolour)"/>
    <x v="11"/>
    <n v="548"/>
    <n v="1299"/>
    <n v="0.57799999999999996"/>
    <m/>
    <n v="0"/>
    <n v="1"/>
    <b v="0"/>
    <b v="0"/>
    <b v="0"/>
    <b v="0"/>
    <d v="2026-06-05T00:00:00"/>
  </r>
  <r>
    <s v="B0FKPYJKFG"/>
    <s v="New 2025 Edition R36S Handheld Console Video Game | HD Screen | Portable &amp;amp; Rechargeable | Built-in 15000+ Games &amp;amp; 64 GB | 20 Emulators | Video Games for All Age Group, Purple"/>
    <x v="11"/>
    <n v="3990"/>
    <n v="7999"/>
    <n v="0.501"/>
    <n v="2.7"/>
    <n v="7"/>
    <n v="1"/>
    <b v="0"/>
    <b v="0"/>
    <b v="0"/>
    <b v="0"/>
    <d v="2026-06-05T00:00:00"/>
  </r>
  <r>
    <s v="B0H22CH5LJ"/>
    <s v="G90 7-Inch Full HD Handheld Video Game Console with 21+ Emulators, 64GB Preloaded Games, Wireless Gaming Controller, Professional Gaming Chip, Portable Retro Arcade Gaming Console for Kids &amp;amp; Adults (Red &amp;amp; Blue)"/>
    <x v="11"/>
    <n v="7999"/>
    <n v="10999"/>
    <n v="0.27300000000000002"/>
    <m/>
    <n v="0"/>
    <n v="1"/>
    <b v="0"/>
    <b v="0"/>
    <b v="0"/>
    <b v="0"/>
    <d v="2026-06-05T00:00:00"/>
  </r>
  <r>
    <s v="B0G1V9LF2N"/>
    <s v="Gagon Traders Handheld Gaming Console for Kids &amp;amp; Adults | 520 Classic Built-in Games | Retro Video Game Player | Portable, Rechargeable, TV Output | Toy &amp;amp; Gift for Boys Girls Ages 6-14 | Mini Game Box"/>
    <x v="11"/>
    <n v="859"/>
    <n v="1589"/>
    <n v="0.45900000000000002"/>
    <n v="5"/>
    <n v="3"/>
    <n v="1"/>
    <b v="0"/>
    <b v="0"/>
    <b v="0"/>
    <b v="0"/>
    <d v="2026-06-05T00:00:00"/>
  </r>
  <r>
    <s v="B0FP19Y8SW"/>
    <s v="VGRASSP 400 in 1 Handheld Video Game Console for Kids â€“ Retro Portable Console with Built-in Classic Games, Rechargeable Battery, Gift for Boys &amp;amp; Girls - Multicolor"/>
    <x v="11"/>
    <n v="585"/>
    <n v="1299"/>
    <n v="0.55000000000000004"/>
    <n v="3.6"/>
    <n v="22"/>
    <n v="1"/>
    <b v="0"/>
    <b v="0"/>
    <b v="0"/>
    <b v="0"/>
    <d v="2026-06-05T00:00:00"/>
  </r>
  <r>
    <s v="B0FMYSB4SD"/>
    <s v="HZ New 2025 Edition R36S Handheld Console Video Game | HD Screen | Portable &amp;amp; Rechargeable | Built-in 15000+ Games &amp;amp; 64 GB | 20 Emulators | Games for All Age Group (Colour As Per Stock)"/>
    <x v="11"/>
    <n v="4490"/>
    <n v="9999"/>
    <n v="0.55100000000000005"/>
    <n v="3.7"/>
    <n v="8"/>
    <n v="1"/>
    <b v="0"/>
    <b v="0"/>
    <b v="0"/>
    <b v="0"/>
    <d v="2026-06-05T00:00:00"/>
  </r>
  <r>
    <s v="B0H2LXXMY6"/>
    <s v="Handheld Game Console HN-R36S , 15k+ Gamees 3.5-inch IPS Display, 64GB Storage, 1 Ram Chip (1GB) 8+ Hour Battery Life (Purple)"/>
    <x v="11"/>
    <n v="3990"/>
    <n v="9999"/>
    <n v="0.60099999999999998"/>
    <n v="5"/>
    <n v="2"/>
    <n v="1"/>
    <b v="0"/>
    <b v="0"/>
    <b v="0"/>
    <b v="0"/>
    <d v="2026-06-05T00:00:00"/>
  </r>
  <r>
    <s v="B0D2JGYX3F"/>
    <s v="Nex Playground Game System, Indoor Family Game Night, Fun Games &amp;amp; Physical Play, Unique AI-Powered Motion Tracking Video Game Console, Transforms Living Room into a Family or Party Games Space"/>
    <x v="11"/>
    <n v="39888"/>
    <n v="69999"/>
    <n v="0.43"/>
    <n v="4.7"/>
    <n v="4339"/>
    <n v="1"/>
    <b v="0"/>
    <b v="0"/>
    <b v="0"/>
    <b v="0"/>
    <d v="2026-06-05T00:00:00"/>
  </r>
  <r>
    <s v="B0DM96R9T4"/>
    <s v="Sameo Handheld Video Game Console, Dreamboy Retro Mini Game with 500 Classic Retro Game TV Compatible for Kids, Rechargeable 8 Bit Classic (Ice Green)"/>
    <x v="11"/>
    <n v="1579"/>
    <n v="1599"/>
    <n v="1.2999999999999999E-2"/>
    <n v="3.7"/>
    <n v="36"/>
    <n v="1"/>
    <b v="0"/>
    <b v="0"/>
    <b v="0"/>
    <b v="0"/>
    <d v="2026-06-05T00:00:00"/>
  </r>
  <r>
    <s v="B0CWNW1FSG"/>
    <s v="Sameo iPlay+ 32 Bit Motion TV Video Game Console With All New Motion Gun with 1056 Built in Games 33 Motion Sports Games,34 Puzzle Games, 69 Casual Game, 20 Shooting Game"/>
    <x v="11"/>
    <n v="6990"/>
    <m/>
    <m/>
    <n v="3.8"/>
    <n v="81"/>
    <n v="1"/>
    <b v="0"/>
    <b v="0"/>
    <b v="0"/>
    <b v="0"/>
    <d v="2026-06-05T00:00:00"/>
  </r>
  <r>
    <s v="B0H27854GY"/>
    <s v="G90 7-Inch Full HD Handheld Video Game Console with 21+ Emulators, 64GB Preloaded Games, Wireless Gaming Controller, Professional Gaming Chip, Portable Retro Arcade Gaming Console for Kids &amp;amp; Adults (Black)"/>
    <x v="11"/>
    <n v="7999"/>
    <n v="10999"/>
    <n v="0.27300000000000002"/>
    <m/>
    <n v="0"/>
    <n v="1"/>
    <b v="0"/>
    <b v="0"/>
    <b v="0"/>
    <b v="0"/>
    <d v="2026-06-05T00:00:00"/>
  </r>
  <r>
    <s v="B0F5N6LWVR"/>
    <s v="Sameo Thunder NX Handheld Game Console â€“ 64GB 15000+ Games 4.5â€ IPS Display Retro Gaming Dual-Core"/>
    <x v="11"/>
    <n v="5250"/>
    <n v="5299"/>
    <n v="8.9999999999999993E-3"/>
    <n v="3.5"/>
    <n v="3"/>
    <n v="1"/>
    <b v="0"/>
    <b v="0"/>
    <b v="0"/>
    <b v="0"/>
    <d v="2026-06-05T00:00:00"/>
  </r>
  <r>
    <s v="B0GWQ7YQPB"/>
    <s v="PICSTAR GS5 Pro Classic TV Video Game Console with 30000 Games and 1080 Output with 53 Simulators for PSP Games"/>
    <x v="11"/>
    <n v="4990"/>
    <n v="6999"/>
    <n v="0.28699999999999998"/>
    <n v="3.3"/>
    <n v="16"/>
    <n v="1"/>
    <b v="0"/>
    <b v="0"/>
    <b v="0"/>
    <b v="0"/>
    <d v="2026-06-05T00:00:00"/>
  </r>
  <r>
    <s v="B0CR8GPW2V"/>
    <s v="NextTech 4K Plug &amp;amp; Play Retro Gaming Console | Built-in Classic Games | HDMI TV Compatible Game Stick | Dual Wireless Gamepads | Perfect Family &amp;amp; Kids Entertainment Device"/>
    <x v="11"/>
    <n v="899"/>
    <n v="1599"/>
    <n v="0.438"/>
    <n v="4.8"/>
    <n v="4"/>
    <n v="1"/>
    <b v="0"/>
    <b v="0"/>
    <b v="0"/>
    <b v="0"/>
    <d v="2026-06-05T00:00:00"/>
  </r>
  <r>
    <s v="B0FCR5ZD7R"/>
    <s v="R36MAX Retro Gaming Console, Handheld Game Console with 4000mAh Battery 4.0â€IPS Screen, Open Source Linux System, 64GB TF Card Portable Pocket Arcade, Transparent Black"/>
    <x v="11"/>
    <n v="4900"/>
    <n v="6990"/>
    <n v="0.29899999999999999"/>
    <n v="3.2"/>
    <n v="75"/>
    <n v="1"/>
    <b v="0"/>
    <b v="0"/>
    <b v="0"/>
    <b v="0"/>
    <d v="2026-06-05T00:00:00"/>
  </r>
  <r>
    <s v="B0H26B34WQ"/>
    <s v="LEROKAS J36 Ultra Handheld Gaming Console, Portable Retro Game Player, RGB Dual Joysticks, Orange"/>
    <x v="11"/>
    <n v="4999"/>
    <n v="6999"/>
    <n v="0.28599999999999998"/>
    <m/>
    <n v="0"/>
    <n v="1"/>
    <b v="0"/>
    <b v="0"/>
    <b v="0"/>
    <b v="0"/>
    <d v="2026-06-05T00:00:00"/>
  </r>
  <r>
    <s v="B0GDZ42HK1"/>
    <s v="Gagon Traders 8 Bit TV Video Game Console with 2 Controllers, Gun, AV Cable, Adapter, Grey, Retro Gaming System With Two Free Cassettes"/>
    <x v="11"/>
    <n v="1799"/>
    <n v="5889"/>
    <n v="0.69499999999999995"/>
    <m/>
    <n v="0"/>
    <n v="1"/>
    <b v="0"/>
    <b v="0"/>
    <b v="0"/>
    <b v="0"/>
    <d v="2026-06-05T00:00:00"/>
  </r>
  <r>
    <s v="B0GWMMDBKP"/>
    <s v="PICSTAR GS5Pro Retro Gaming Console - Wireless Controller Gamepad- 1080P HD Graphics, 64GB Storage,Video Game TV Stick for All Ages"/>
    <x v="11"/>
    <n v="4849"/>
    <n v="6999"/>
    <n v="0.307"/>
    <n v="4.3"/>
    <n v="9"/>
    <n v="1"/>
    <b v="0"/>
    <b v="0"/>
    <b v="0"/>
    <b v="0"/>
    <d v="2026-06-05T00:00:00"/>
  </r>
  <r>
    <s v="B0DHQXRH1S"/>
    <s v="iNext INT-333 Retro Gaming Console - 98,800 Pre-Installed Games | Plug &amp;amp; Play | HD Output | 1 Player &amp;amp; User vs. Computer Mode | for Kids, Adults &amp;amp; Family Entertainment"/>
    <x v="11"/>
    <n v="499"/>
    <n v="999"/>
    <n v="0.501"/>
    <n v="1"/>
    <n v="1"/>
    <n v="1"/>
    <b v="0"/>
    <b v="0"/>
    <b v="0"/>
    <b v="0"/>
    <d v="2026-06-05T00:00:00"/>
  </r>
  <r>
    <s v="B0F6FV8BSR"/>
    <s v="Endzone Video Games For Kids 520 in 1 Controller Gamepad Video Game, Retro Gaming Console, Gameboy Age 7, Digital Game Player, Pocket Gamer, Handheld Gaming Console,"/>
    <x v="11"/>
    <n v="777"/>
    <n v="1499"/>
    <n v="0.48199999999999998"/>
    <n v="3.8"/>
    <n v="29"/>
    <n v="1"/>
    <b v="0"/>
    <b v="0"/>
    <b v="0"/>
    <b v="0"/>
    <d v="2026-06-05T00:00:00"/>
  </r>
  <r>
    <s v="B0H1QKTDBT"/>
    <s v="R36S Retro Handheld Video Game Console 3.5 inch Retro Handheld Video Games Consoles Built-in Rechargeable Battery Portable Style Hand Held Game Consoles"/>
    <x v="11"/>
    <n v="3399"/>
    <n v="9999"/>
    <n v="0.66"/>
    <m/>
    <n v="0"/>
    <n v="1"/>
    <b v="0"/>
    <b v="0"/>
    <b v="0"/>
    <b v="0"/>
    <d v="2026-06-05T00:00:00"/>
  </r>
  <r>
    <s v="B0H21QN4GX"/>
    <s v="New 2026 PoweNri M8 Retro Game Console HDMI for TV | Plug &amp;amp; Play Gaming Stick with Wireless Controllers | 1080p HD Display | 2 Player Support | Compact Gaming Device | Black"/>
    <x v="11"/>
    <n v="1999"/>
    <n v="3999"/>
    <n v="0.5"/>
    <m/>
    <n v="0"/>
    <n v="1"/>
    <b v="0"/>
    <b v="0"/>
    <b v="0"/>
    <b v="0"/>
    <d v="2026-06-05T00:00:00"/>
  </r>
  <r>
    <s v="B0FFTCW4C7"/>
    <s v="BELOXY Handheld Gaming Console for Kids &amp;amp; Adults | 520 Classic Built-in Games | Retro Video Game Player | Portable, Rechargeable, TV Output | Toy &amp;amp; Gift for Boys Girls Ages 6-14 | Mini Game Box"/>
    <x v="11"/>
    <n v="799"/>
    <n v="1599"/>
    <n v="0.5"/>
    <n v="3.6"/>
    <n v="42"/>
    <n v="1"/>
    <b v="0"/>
    <b v="0"/>
    <b v="0"/>
    <b v="0"/>
    <d v="2026-06-05T00:00:00"/>
  </r>
  <r>
    <s v="B0F7H338CZ"/>
    <s v="BELOXY Handheld 400 in 1 Video Game for Kids, Rechargeable Game Box with TV Output &amp;amp; with Gaming Console Style 3, Red"/>
    <x v="11"/>
    <n v="592"/>
    <n v="1399"/>
    <n v="0.57699999999999996"/>
    <n v="3.3"/>
    <n v="179"/>
    <n v="1"/>
    <b v="0"/>
    <b v="0"/>
    <b v="0"/>
    <b v="0"/>
    <d v="2026-06-05T00:00:00"/>
  </r>
  <r>
    <s v="B0DV9MB616"/>
    <s v="VOILA M33 Retro Gaming Console, Video Game Console for TV, Gaming Controller, Games Stick, Ultimate 90s Gamepad. 4k HD, 64GB. CE, ROHS, and BIS Certified, Original Unit"/>
    <x v="11"/>
    <n v="4948"/>
    <n v="7999"/>
    <n v="0.38100000000000001"/>
    <n v="2.9"/>
    <n v="15"/>
    <n v="1"/>
    <b v="0"/>
    <b v="0"/>
    <b v="0"/>
    <b v="0"/>
    <d v="2026-06-05T00:00:00"/>
  </r>
  <r>
    <s v="B0CY9169L2"/>
    <s v="New World an/bernic RG35XX H Retro Handheld Game Console 3.5 in IPS Screen Built-in 3300mAH Battery 64G TF Card , Classic Games Console (Black)"/>
    <x v="11"/>
    <n v="9700"/>
    <n v="9999"/>
    <n v="0.03"/>
    <n v="3.9"/>
    <n v="15"/>
    <n v="1"/>
    <b v="0"/>
    <b v="0"/>
    <b v="0"/>
    <b v="0"/>
    <d v="2026-06-05T00:00:00"/>
  </r>
  <r>
    <s v="B0GXPL2ZTD"/>
    <s v="Wireless Gaming Console Set compatible with GS5 Style, White and Black, 2 Controllers with USB Dongle Included"/>
    <x v="11"/>
    <n v="4589"/>
    <n v="8999"/>
    <n v="0.49"/>
    <m/>
    <n v="0"/>
    <n v="1"/>
    <b v="0"/>
    <b v="0"/>
    <b v="0"/>
    <b v="0"/>
    <d v="2026-06-05T00:00:0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3">
  <r>
    <s v="B0FN7QTRPY"/>
    <x v="0"/>
    <s v="Smartphone"/>
    <n v="9999"/>
    <n v="10999"/>
    <n v="9.0999999999999998E-2"/>
    <n v="4.2"/>
    <n v="1550"/>
    <n v="1"/>
    <b v="0"/>
    <b v="0"/>
    <b v="0"/>
    <b v="0"/>
    <d v="2026-06-05T00:00:00"/>
    <n v="6510"/>
    <n v="9999"/>
    <s v="₹5,000–₹10,000"/>
    <s v="4.0–4.4"/>
    <x v="0"/>
  </r>
  <r>
    <s v="B0GFW1BJ1D"/>
    <x v="1"/>
    <s v="Smartphone"/>
    <n v="13999"/>
    <m/>
    <m/>
    <n v="3.8"/>
    <n v="303"/>
    <n v="1"/>
    <b v="0"/>
    <b v="0"/>
    <b v="0"/>
    <b v="0"/>
    <d v="2026-06-05T00:00:00"/>
    <n v="1151.3999999999999"/>
    <n v="13999"/>
    <s v="Above ₹10,000"/>
    <s v="3.0–3.9"/>
    <x v="1"/>
  </r>
  <r>
    <s v="B0FT7T3GZF"/>
    <x v="2"/>
    <s v="Smartphone"/>
    <n v="10168"/>
    <n v="10999"/>
    <n v="7.5999999999999998E-2"/>
    <n v="3.7"/>
    <n v="137"/>
    <n v="1"/>
    <b v="0"/>
    <b v="0"/>
    <b v="0"/>
    <b v="0"/>
    <d v="2026-06-05T00:00:00"/>
    <n v="506.90000000000003"/>
    <n v="10168"/>
    <s v="Above ₹10,000"/>
    <s v="3.0–3.9"/>
    <x v="0"/>
  </r>
  <r>
    <s v="B0H1B6WTN3"/>
    <x v="3"/>
    <s v="Smartphone"/>
    <n v="11999"/>
    <n v="16999"/>
    <n v="0.29399999999999998"/>
    <n v="4.2"/>
    <n v="2964"/>
    <n v="1"/>
    <b v="0"/>
    <b v="0"/>
    <b v="0"/>
    <b v="0"/>
    <d v="2026-06-05T00:00:00"/>
    <n v="12448.800000000001"/>
    <n v="11999"/>
    <s v="Above ₹10,000"/>
    <s v="4.0–4.4"/>
    <x v="2"/>
  </r>
  <r>
    <s v="B0G49YZTTW"/>
    <x v="4"/>
    <s v="Smartphone"/>
    <n v="19999"/>
    <m/>
    <m/>
    <n v="4.0999999999999996"/>
    <n v="978"/>
    <n v="1"/>
    <b v="0"/>
    <b v="0"/>
    <b v="1"/>
    <b v="0"/>
    <d v="2026-06-05T00:00:00"/>
    <n v="4009.7999999999997"/>
    <n v="19999"/>
    <s v="Above ₹10,000"/>
    <s v="4.0–4.4"/>
    <x v="1"/>
  </r>
  <r>
    <s v="B0GVYXPZBS"/>
    <x v="5"/>
    <s v="Smartphone"/>
    <n v="25998"/>
    <n v="33999"/>
    <n v="0.23499999999999999"/>
    <n v="4.2"/>
    <n v="318"/>
    <n v="1"/>
    <b v="0"/>
    <b v="0"/>
    <b v="0"/>
    <b v="0"/>
    <d v="2026-06-05T00:00:00"/>
    <n v="1335.6000000000001"/>
    <n v="25998"/>
    <s v="Above ₹10,000"/>
    <s v="4.0–4.4"/>
    <x v="2"/>
  </r>
  <r>
    <s v="B0DX6P3RX9"/>
    <x v="6"/>
    <s v="Smartphone"/>
    <n v="13999"/>
    <m/>
    <m/>
    <n v="4"/>
    <n v="2865"/>
    <n v="1"/>
    <b v="0"/>
    <b v="0"/>
    <b v="0"/>
    <b v="0"/>
    <d v="2026-06-05T00:00:00"/>
    <n v="11460"/>
    <n v="13999"/>
    <s v="Above ₹10,000"/>
    <s v="4.0–4.4"/>
    <x v="1"/>
  </r>
  <r>
    <s v="B0GS97F668"/>
    <x v="7"/>
    <s v="Smartphone"/>
    <n v="4999"/>
    <n v="10990"/>
    <n v="0.54500000000000004"/>
    <n v="3"/>
    <n v="6"/>
    <n v="1"/>
    <b v="0"/>
    <b v="0"/>
    <b v="0"/>
    <b v="0"/>
    <d v="2026-06-05T00:00:00"/>
    <n v="18"/>
    <n v="4999"/>
    <s v="₹1,000–₹5,000"/>
    <s v="3.0–3.9"/>
    <x v="3"/>
  </r>
  <r>
    <s v="B0F8ZVRLZB"/>
    <x v="8"/>
    <s v="Smartphone"/>
    <n v="14094"/>
    <n v="15499"/>
    <n v="9.0999999999999998E-2"/>
    <n v="4.2"/>
    <n v="129"/>
    <n v="12"/>
    <b v="0"/>
    <b v="0"/>
    <b v="0"/>
    <b v="0"/>
    <d v="2026-06-05T00:00:00"/>
    <n v="541.80000000000007"/>
    <n v="14094"/>
    <s v="Above ₹10,000"/>
    <s v="4.0–4.4"/>
    <x v="0"/>
  </r>
  <r>
    <s v="B0DYP4NYYJ"/>
    <x v="9"/>
    <s v="Smartphone"/>
    <n v="12990"/>
    <n v="13999"/>
    <n v="7.1999999999999995E-2"/>
    <n v="4.0999999999999996"/>
    <n v="823"/>
    <n v="13"/>
    <b v="0"/>
    <b v="0"/>
    <b v="0"/>
    <b v="0"/>
    <d v="2026-06-05T00:00:00"/>
    <n v="3374.2999999999997"/>
    <n v="12990"/>
    <s v="Above ₹10,000"/>
    <s v="4.0–4.4"/>
    <x v="0"/>
  </r>
  <r>
    <s v="B0GTQ5X45R"/>
    <x v="10"/>
    <s v="Smartphone"/>
    <n v="7999"/>
    <n v="18900"/>
    <n v="0.57699999999999996"/>
    <n v="3.4"/>
    <n v="26"/>
    <n v="2"/>
    <b v="0"/>
    <b v="0"/>
    <b v="0"/>
    <b v="0"/>
    <d v="2026-06-05T00:00:00"/>
    <n v="88.399999999999991"/>
    <n v="7999"/>
    <s v="₹5,000–₹10,000"/>
    <s v="3.0–3.9"/>
    <x v="3"/>
  </r>
  <r>
    <s v="B0GS5Y7QBF"/>
    <x v="11"/>
    <s v="Smartphone"/>
    <n v="12999"/>
    <n v="15999"/>
    <n v="0.188"/>
    <n v="3.6"/>
    <n v="569"/>
    <n v="1"/>
    <b v="0"/>
    <b v="0"/>
    <b v="0"/>
    <b v="0"/>
    <d v="2026-06-05T00:00:00"/>
    <n v="2048.4"/>
    <n v="12999"/>
    <s v="Above ₹10,000"/>
    <s v="3.0–3.9"/>
    <x v="4"/>
  </r>
  <r>
    <s v="B0GTRHJYYF"/>
    <x v="12"/>
    <s v="Smartphone"/>
    <n v="15998"/>
    <n v="27999"/>
    <n v="0.42899999999999999"/>
    <n v="3.9"/>
    <n v="99"/>
    <n v="1"/>
    <b v="0"/>
    <b v="0"/>
    <b v="0"/>
    <b v="0"/>
    <d v="2026-06-05T00:00:00"/>
    <n v="386.09999999999997"/>
    <n v="15998"/>
    <s v="Above ₹10,000"/>
    <s v="3.0–3.9"/>
    <x v="5"/>
  </r>
  <r>
    <s v="B0GN16HF5W"/>
    <x v="13"/>
    <s v="Smartphone"/>
    <n v="15999"/>
    <n v="20999"/>
    <n v="0.23799999999999999"/>
    <n v="3.5"/>
    <n v="37"/>
    <n v="1"/>
    <b v="0"/>
    <b v="0"/>
    <b v="0"/>
    <b v="0"/>
    <d v="2026-06-05T00:00:00"/>
    <n v="129.5"/>
    <n v="15999"/>
    <s v="Above ₹10,000"/>
    <s v="3.0–3.9"/>
    <x v="2"/>
  </r>
  <r>
    <s v="B0GPDJ1PRN"/>
    <x v="14"/>
    <s v="Smartphone"/>
    <n v="17630"/>
    <n v="23999"/>
    <n v="0.26500000000000001"/>
    <n v="3.8"/>
    <n v="34"/>
    <n v="1"/>
    <b v="0"/>
    <b v="0"/>
    <b v="0"/>
    <b v="0"/>
    <d v="2026-06-05T00:00:00"/>
    <n v="129.19999999999999"/>
    <n v="17630"/>
    <s v="Above ₹10,000"/>
    <s v="3.0–3.9"/>
    <x v="2"/>
  </r>
  <r>
    <s v="B0GVG27VS7"/>
    <x v="15"/>
    <s v="Smartphone"/>
    <n v="12499"/>
    <n v="15999"/>
    <n v="0.219"/>
    <n v="3.5"/>
    <n v="23"/>
    <n v="2"/>
    <b v="0"/>
    <b v="0"/>
    <b v="0"/>
    <b v="0"/>
    <d v="2026-06-05T00:00:00"/>
    <n v="80.5"/>
    <n v="12499"/>
    <s v="Above ₹10,000"/>
    <s v="3.0–3.9"/>
    <x v="2"/>
  </r>
  <r>
    <s v="B0GRBHNCTZ"/>
    <x v="16"/>
    <s v="Smartphone"/>
    <n v="47998"/>
    <n v="56999"/>
    <n v="0.158"/>
    <n v="4.3"/>
    <n v="1180"/>
    <n v="1"/>
    <b v="0"/>
    <b v="0"/>
    <b v="0"/>
    <b v="0"/>
    <d v="2026-06-05T00:00:00"/>
    <n v="5074"/>
    <n v="47998"/>
    <s v="Above ₹10,000"/>
    <s v="4.0–4.4"/>
    <x v="4"/>
  </r>
  <r>
    <s v="B0GP7BD27Q"/>
    <x v="17"/>
    <s v="Smartphone"/>
    <n v="22999"/>
    <n v="28999"/>
    <n v="0.20699999999999999"/>
    <n v="4.2"/>
    <n v="827"/>
    <n v="1"/>
    <b v="0"/>
    <b v="0"/>
    <b v="0"/>
    <b v="0"/>
    <d v="2026-06-05T00:00:00"/>
    <n v="3473.4"/>
    <n v="22999"/>
    <s v="Above ₹10,000"/>
    <s v="4.0–4.4"/>
    <x v="2"/>
  </r>
  <r>
    <s v="B0F43WXC8K"/>
    <x v="18"/>
    <s v="Smartphone"/>
    <n v="23498"/>
    <n v="33999"/>
    <n v="0.309"/>
    <n v="4.3"/>
    <n v="1943"/>
    <n v="1"/>
    <b v="0"/>
    <b v="0"/>
    <b v="0"/>
    <b v="0"/>
    <d v="2026-06-05T00:00:00"/>
    <n v="8354.9"/>
    <n v="23498"/>
    <s v="Above ₹10,000"/>
    <s v="4.0–4.4"/>
    <x v="5"/>
  </r>
  <r>
    <s v="B0F1D9LCK3"/>
    <x v="19"/>
    <s v="Smartphone"/>
    <n v="23999"/>
    <n v="25999"/>
    <n v="7.6999999999999999E-2"/>
    <n v="4.3"/>
    <n v="2832"/>
    <n v="1"/>
    <b v="0"/>
    <b v="0"/>
    <b v="0"/>
    <b v="0"/>
    <d v="2026-06-05T00:00:00"/>
    <n v="12177.6"/>
    <n v="23999"/>
    <s v="Above ₹10,000"/>
    <s v="4.0–4.4"/>
    <x v="0"/>
  </r>
  <r>
    <s v="B0FN7RN9TH"/>
    <x v="20"/>
    <s v="Smartphone"/>
    <n v="14999"/>
    <n v="16499"/>
    <n v="9.0999999999999998E-2"/>
    <n v="4"/>
    <n v="2910"/>
    <n v="1"/>
    <b v="0"/>
    <b v="0"/>
    <b v="0"/>
    <b v="0"/>
    <d v="2026-06-05T00:00:00"/>
    <n v="11640"/>
    <n v="14999"/>
    <s v="Above ₹10,000"/>
    <s v="4.0–4.4"/>
    <x v="0"/>
  </r>
  <r>
    <s v="B0G29VSZF6"/>
    <x v="21"/>
    <s v="Smartphone"/>
    <n v="20999"/>
    <n v="33999"/>
    <n v="0.38200000000000001"/>
    <n v="3.9"/>
    <n v="727"/>
    <n v="1"/>
    <b v="0"/>
    <b v="0"/>
    <b v="0"/>
    <b v="0"/>
    <d v="2026-06-05T00:00:00"/>
    <n v="2835.2999999999997"/>
    <n v="20999"/>
    <s v="Above ₹10,000"/>
    <s v="3.0–3.9"/>
    <x v="5"/>
  </r>
  <r>
    <s v="B0GN1P5CSY"/>
    <x v="22"/>
    <s v="Smartphone"/>
    <n v="13999"/>
    <n v="16999"/>
    <n v="0.17599999999999999"/>
    <n v="3.9"/>
    <n v="249"/>
    <n v="1"/>
    <b v="0"/>
    <b v="0"/>
    <b v="0"/>
    <b v="0"/>
    <d v="2026-06-05T00:00:00"/>
    <n v="971.1"/>
    <n v="13999"/>
    <s v="Above ₹10,000"/>
    <s v="3.0–3.9"/>
    <x v="4"/>
  </r>
  <r>
    <s v="B0GSVFNTBW"/>
    <x v="23"/>
    <s v="Smartphone"/>
    <n v="4890"/>
    <n v="10990"/>
    <n v="0.55500000000000005"/>
    <n v="2.6"/>
    <n v="7"/>
    <n v="1"/>
    <b v="0"/>
    <b v="0"/>
    <b v="0"/>
    <b v="0"/>
    <d v="2026-06-05T00:00:00"/>
    <n v="18.2"/>
    <n v="4890"/>
    <s v="₹1,000–₹5,000"/>
    <s v="2.0–2.9"/>
    <x v="3"/>
  </r>
  <r>
    <s v="B0GL1WGHJX"/>
    <x v="24"/>
    <s v="Smartphone"/>
    <n v="8899"/>
    <n v="10499"/>
    <n v="0.152"/>
    <n v="3.6"/>
    <n v="149"/>
    <n v="1"/>
    <b v="0"/>
    <b v="0"/>
    <b v="0"/>
    <b v="0"/>
    <d v="2026-06-05T00:00:00"/>
    <n v="536.4"/>
    <n v="8899"/>
    <s v="₹5,000–₹10,000"/>
    <s v="3.0–3.9"/>
    <x v="4"/>
  </r>
  <r>
    <s v="B0FJFSHJ6Z"/>
    <x v="25"/>
    <s v="Smartphone"/>
    <n v="24499"/>
    <n v="36999"/>
    <n v="0.33800000000000002"/>
    <n v="4.0999999999999996"/>
    <n v="2138"/>
    <n v="1"/>
    <b v="0"/>
    <b v="0"/>
    <b v="0"/>
    <b v="0"/>
    <d v="2026-06-05T00:00:00"/>
    <n v="8765.7999999999993"/>
    <n v="24499"/>
    <s v="Above ₹10,000"/>
    <s v="4.0–4.4"/>
    <x v="5"/>
  </r>
  <r>
    <s v="B0GP88QJL8"/>
    <x v="26"/>
    <s v="Smartphone"/>
    <n v="48250"/>
    <n v="49999"/>
    <n v="3.5000000000000003E-2"/>
    <n v="4.3"/>
    <n v="69"/>
    <n v="1"/>
    <b v="0"/>
    <b v="0"/>
    <b v="0"/>
    <b v="0"/>
    <d v="2026-06-05T00:00:00"/>
    <n v="296.7"/>
    <n v="48250"/>
    <s v="Above ₹10,000"/>
    <s v="4.0–4.4"/>
    <x v="0"/>
  </r>
  <r>
    <s v="B0FZSXYV6K"/>
    <x v="27"/>
    <s v="Smartphone"/>
    <n v="59999"/>
    <m/>
    <m/>
    <n v="4.5"/>
    <n v="1585"/>
    <n v="1"/>
    <b v="0"/>
    <b v="0"/>
    <b v="0"/>
    <b v="0"/>
    <d v="2026-06-05T00:00:00"/>
    <n v="7132.5"/>
    <n v="59999"/>
    <s v="Above ₹10,000"/>
    <s v="4.5–5.0"/>
    <x v="1"/>
  </r>
  <r>
    <s v="B0GS5SM6JR"/>
    <x v="28"/>
    <s v="Smartphone"/>
    <n v="12999"/>
    <n v="15999"/>
    <n v="0.188"/>
    <n v="3.6"/>
    <n v="569"/>
    <n v="1"/>
    <b v="0"/>
    <b v="0"/>
    <b v="0"/>
    <b v="0"/>
    <d v="2026-06-05T00:00:00"/>
    <n v="2048.4"/>
    <n v="12999"/>
    <s v="Above ₹10,000"/>
    <s v="3.0–3.9"/>
    <x v="4"/>
  </r>
  <r>
    <s v="B0FW3RP8YJ"/>
    <x v="29"/>
    <s v="Smartphone"/>
    <n v="20499"/>
    <n v="22999"/>
    <n v="0.109"/>
    <n v="4.0999999999999996"/>
    <n v="151"/>
    <n v="1"/>
    <b v="0"/>
    <b v="0"/>
    <b v="0"/>
    <b v="0"/>
    <d v="2026-06-05T00:00:00"/>
    <n v="619.09999999999991"/>
    <n v="20499"/>
    <s v="Above ₹10,000"/>
    <s v="4.0–4.4"/>
    <x v="4"/>
  </r>
  <r>
    <s v="B0GS5V95DB"/>
    <x v="30"/>
    <s v="Smartphone"/>
    <n v="13999"/>
    <n v="16999"/>
    <n v="0.17599999999999999"/>
    <n v="3.6"/>
    <n v="569"/>
    <n v="1"/>
    <b v="0"/>
    <b v="0"/>
    <b v="0"/>
    <b v="0"/>
    <d v="2026-06-05T00:00:00"/>
    <n v="2048.4"/>
    <n v="13999"/>
    <s v="Above ₹10,000"/>
    <s v="3.0–3.9"/>
    <x v="4"/>
  </r>
  <r>
    <s v="B0DYKC512N"/>
    <x v="31"/>
    <s v="Smartphone"/>
    <n v="14147"/>
    <n v="15499"/>
    <n v="8.6999999999999994E-2"/>
    <n v="4"/>
    <n v="213"/>
    <n v="1"/>
    <b v="0"/>
    <b v="0"/>
    <b v="0"/>
    <b v="0"/>
    <d v="2026-06-05T00:00:00"/>
    <n v="852"/>
    <n v="14147"/>
    <s v="Above ₹10,000"/>
    <s v="4.0–4.4"/>
    <x v="0"/>
  </r>
  <r>
    <s v="B0G8Y3GWQR"/>
    <x v="32"/>
    <s v="Smartphone"/>
    <n v="37999"/>
    <n v="42999"/>
    <n v="0.11600000000000001"/>
    <n v="4"/>
    <n v="106"/>
    <n v="1"/>
    <b v="0"/>
    <b v="0"/>
    <b v="0"/>
    <b v="0"/>
    <d v="2026-06-05T00:00:00"/>
    <n v="424"/>
    <n v="37999"/>
    <s v="Above ₹10,000"/>
    <s v="4.0–4.4"/>
    <x v="4"/>
  </r>
  <r>
    <s v="B0GSRJ52CQ"/>
    <x v="33"/>
    <s v="Smartphone"/>
    <n v="15909"/>
    <n v="20000"/>
    <n v="0.20499999999999999"/>
    <n v="4.3"/>
    <n v="15"/>
    <n v="4"/>
    <b v="0"/>
    <b v="0"/>
    <b v="0"/>
    <b v="0"/>
    <d v="2026-06-05T00:00:00"/>
    <n v="64.5"/>
    <n v="15909"/>
    <s v="Above ₹10,000"/>
    <s v="4.0–4.4"/>
    <x v="2"/>
  </r>
  <r>
    <s v="B07Z6JYPTW"/>
    <x v="34"/>
    <s v="Smartphone"/>
    <m/>
    <m/>
    <m/>
    <n v="3.9"/>
    <n v="224"/>
    <n v="1"/>
    <b v="0"/>
    <b v="0"/>
    <b v="0"/>
    <b v="0"/>
    <d v="2026-06-05T00:00:00"/>
    <n v="873.6"/>
    <m/>
    <s v=" "/>
    <s v="3.0–3.9"/>
    <x v="1"/>
  </r>
  <r>
    <s v="B0GF2H24ZJ"/>
    <x v="35"/>
    <s v="Smartphone"/>
    <n v="44999"/>
    <m/>
    <m/>
    <n v="4.2"/>
    <n v="262"/>
    <n v="1"/>
    <b v="0"/>
    <b v="0"/>
    <b v="0"/>
    <b v="0"/>
    <d v="2026-06-05T00:00:00"/>
    <n v="1100.4000000000001"/>
    <n v="44999"/>
    <s v="Above ₹10,000"/>
    <s v="4.0–4.4"/>
    <x v="1"/>
  </r>
  <r>
    <s v="B0GTV6S8Q2"/>
    <x v="36"/>
    <s v="Smartphone"/>
    <n v="26909"/>
    <n v="35999"/>
    <n v="0.253"/>
    <n v="4.3"/>
    <n v="73"/>
    <n v="9"/>
    <b v="0"/>
    <b v="0"/>
    <b v="0"/>
    <b v="0"/>
    <d v="2026-06-05T00:00:00"/>
    <n v="313.89999999999998"/>
    <n v="26909"/>
    <s v="Above ₹10,000"/>
    <s v="4.0–4.4"/>
    <x v="2"/>
  </r>
  <r>
    <s v="B0DDYBQWLW"/>
    <x v="37"/>
    <s v="Smartphone"/>
    <n v="12269"/>
    <m/>
    <m/>
    <n v="4.0999999999999996"/>
    <n v="1853"/>
    <n v="1"/>
    <b v="0"/>
    <b v="0"/>
    <b v="0"/>
    <b v="0"/>
    <d v="2026-06-05T00:00:00"/>
    <n v="7597.2999999999993"/>
    <n v="12269"/>
    <s v="Above ₹10,000"/>
    <s v="4.0–4.4"/>
    <x v="1"/>
  </r>
  <r>
    <s v="B0GWDDKGNP"/>
    <x v="38"/>
    <s v="Smartphone"/>
    <n v="13499"/>
    <n v="16999"/>
    <n v="0.20599999999999999"/>
    <n v="3.6"/>
    <n v="45"/>
    <n v="1"/>
    <b v="0"/>
    <b v="0"/>
    <b v="0"/>
    <b v="0"/>
    <d v="2026-06-05T00:00:00"/>
    <n v="162"/>
    <n v="13499"/>
    <s v="Above ₹10,000"/>
    <s v="3.0–3.9"/>
    <x v="2"/>
  </r>
  <r>
    <s v="B0GP8XTH7K"/>
    <x v="39"/>
    <s v="Smartphone"/>
    <n v="26999"/>
    <n v="33999"/>
    <n v="0.20599999999999999"/>
    <n v="4.2"/>
    <n v="827"/>
    <n v="1"/>
    <b v="0"/>
    <b v="0"/>
    <b v="0"/>
    <b v="0"/>
    <d v="2026-06-05T00:00:00"/>
    <n v="3473.4"/>
    <n v="26999"/>
    <s v="Above ₹10,000"/>
    <s v="4.0–4.4"/>
    <x v="2"/>
  </r>
  <r>
    <s v="B0FRNNP6F5"/>
    <x v="40"/>
    <s v="Smartphone"/>
    <n v="15499"/>
    <n v="16999"/>
    <n v="8.7999999999999995E-2"/>
    <n v="3.7"/>
    <n v="69"/>
    <n v="1"/>
    <b v="0"/>
    <b v="0"/>
    <b v="0"/>
    <b v="0"/>
    <d v="2026-06-05T00:00:00"/>
    <n v="255.3"/>
    <n v="15499"/>
    <s v="Above ₹10,000"/>
    <s v="3.0–3.9"/>
    <x v="0"/>
  </r>
  <r>
    <s v="B0G5G7LNCV"/>
    <x v="41"/>
    <s v="Smartphone"/>
    <n v="28999"/>
    <m/>
    <m/>
    <n v="4.2"/>
    <n v="831"/>
    <n v="1"/>
    <b v="0"/>
    <b v="0"/>
    <b v="0"/>
    <b v="0"/>
    <d v="2026-06-05T00:00:00"/>
    <n v="3490.2000000000003"/>
    <n v="28999"/>
    <s v="Above ₹10,000"/>
    <s v="4.0–4.4"/>
    <x v="1"/>
  </r>
  <r>
    <s v="B0GZWDFQPN"/>
    <x v="42"/>
    <s v="Smartphone"/>
    <n v="11179"/>
    <n v="19999"/>
    <n v="0.441"/>
    <m/>
    <n v="0"/>
    <n v="1"/>
    <b v="0"/>
    <b v="0"/>
    <b v="0"/>
    <b v="0"/>
    <d v="2026-06-05T00:00:00"/>
    <s v=""/>
    <n v="11179"/>
    <s v="Above ₹10,000"/>
    <s v="Not Rated"/>
    <x v="5"/>
  </r>
  <r>
    <s v="B0GL83ZTP8"/>
    <x v="43"/>
    <s v="Smartphone"/>
    <n v="46998"/>
    <n v="53990"/>
    <n v="0.13"/>
    <n v="4.4000000000000004"/>
    <n v="954"/>
    <n v="1"/>
    <b v="0"/>
    <b v="0"/>
    <b v="0"/>
    <b v="0"/>
    <d v="2026-06-05T00:00:00"/>
    <n v="4197.6000000000004"/>
    <n v="46998"/>
    <s v="Above ₹10,000"/>
    <s v="4.0–4.4"/>
    <x v="4"/>
  </r>
  <r>
    <s v="B0F46SJ5SB"/>
    <x v="44"/>
    <s v="Smartphone"/>
    <n v="21040"/>
    <m/>
    <m/>
    <n v="4.3"/>
    <n v="1454"/>
    <n v="1"/>
    <b v="0"/>
    <b v="0"/>
    <b v="0"/>
    <b v="0"/>
    <d v="2026-06-05T00:00:00"/>
    <n v="6252.2"/>
    <n v="21040"/>
    <s v="Above ₹10,000"/>
    <s v="4.0–4.4"/>
    <x v="1"/>
  </r>
  <r>
    <s v="B0FDB9H9Z7"/>
    <x v="45"/>
    <s v="Smartphone"/>
    <n v="23999"/>
    <n v="26999"/>
    <n v="0.111"/>
    <n v="4"/>
    <n v="513"/>
    <n v="1"/>
    <b v="0"/>
    <b v="0"/>
    <b v="0"/>
    <b v="0"/>
    <d v="2026-06-05T00:00:00"/>
    <n v="2052"/>
    <n v="23999"/>
    <s v="Above ₹10,000"/>
    <s v="4.0–4.4"/>
    <x v="4"/>
  </r>
  <r>
    <s v="B0GVFVND7C"/>
    <x v="46"/>
    <s v="Smartphone"/>
    <n v="11499"/>
    <n v="14999"/>
    <n v="0.23300000000000001"/>
    <n v="3.2"/>
    <n v="11"/>
    <n v="2"/>
    <b v="0"/>
    <b v="0"/>
    <b v="0"/>
    <b v="0"/>
    <d v="2026-06-05T00:00:00"/>
    <n v="35.200000000000003"/>
    <n v="11499"/>
    <s v="Above ₹10,000"/>
    <s v="3.0–3.9"/>
    <x v="2"/>
  </r>
  <r>
    <s v="B0F2HDWBNK"/>
    <x v="47"/>
    <s v="Smartphone"/>
    <n v="28999"/>
    <n v="29999"/>
    <n v="3.3000000000000002E-2"/>
    <n v="4.4000000000000004"/>
    <n v="5380"/>
    <n v="1"/>
    <b v="0"/>
    <b v="0"/>
    <b v="0"/>
    <b v="0"/>
    <d v="2026-06-05T00:00:00"/>
    <n v="23672.000000000004"/>
    <n v="28999"/>
    <s v="Above ₹10,000"/>
    <s v="4.0–4.4"/>
    <x v="0"/>
  </r>
  <r>
    <s v="B0CL7CMTXS"/>
    <x v="48"/>
    <s v="Laptop"/>
    <n v="42999"/>
    <m/>
    <m/>
    <n v="4"/>
    <n v="349"/>
    <n v="1"/>
    <b v="0"/>
    <b v="0"/>
    <b v="0"/>
    <b v="0"/>
    <d v="2026-06-05T00:00:00"/>
    <n v="1396"/>
    <n v="42999"/>
    <s v="Above ₹10,000"/>
    <s v="4.0–4.4"/>
    <x v="1"/>
  </r>
  <r>
    <s v="B0BQJ68HHC"/>
    <x v="49"/>
    <s v="Laptop"/>
    <n v="44990"/>
    <n v="48692"/>
    <n v="7.5999999999999998E-2"/>
    <n v="4.0999999999999996"/>
    <n v="1114"/>
    <n v="1"/>
    <b v="0"/>
    <b v="0"/>
    <b v="0"/>
    <b v="0"/>
    <d v="2026-06-05T00:00:00"/>
    <n v="4567.3999999999996"/>
    <n v="44990"/>
    <s v="Above ₹10,000"/>
    <s v="4.0–4.4"/>
    <x v="0"/>
  </r>
  <r>
    <s v="B0F2TMZJ24"/>
    <x v="50"/>
    <s v="Laptop"/>
    <n v="18990"/>
    <n v="36502"/>
    <n v="0.48"/>
    <n v="3.9"/>
    <n v="179"/>
    <n v="1"/>
    <b v="0"/>
    <b v="0"/>
    <b v="0"/>
    <b v="0"/>
    <d v="2026-06-05T00:00:00"/>
    <n v="698.1"/>
    <n v="18990"/>
    <s v="Above ₹10,000"/>
    <s v="3.0–3.9"/>
    <x v="5"/>
  </r>
  <r>
    <s v="B0H1JV266J"/>
    <x v="51"/>
    <s v="Laptop"/>
    <n v="35490"/>
    <n v="49999"/>
    <n v="0.28999999999999998"/>
    <n v="5"/>
    <n v="1"/>
    <n v="1"/>
    <b v="0"/>
    <b v="0"/>
    <b v="0"/>
    <b v="0"/>
    <d v="2026-06-05T00:00:00"/>
    <n v="5"/>
    <n v="35490"/>
    <s v="Above ₹10,000"/>
    <s v="4.5–5.0"/>
    <x v="2"/>
  </r>
  <r>
    <s v="B0FDWH5WTL"/>
    <x v="52"/>
    <s v="Laptop"/>
    <n v="47490"/>
    <n v="53074"/>
    <n v="0.105"/>
    <n v="3.7"/>
    <n v="46"/>
    <n v="1"/>
    <b v="0"/>
    <b v="0"/>
    <b v="0"/>
    <b v="0"/>
    <d v="2026-06-05T00:00:00"/>
    <n v="170.20000000000002"/>
    <n v="47490"/>
    <s v="Above ₹10,000"/>
    <s v="3.0–3.9"/>
    <x v="4"/>
  </r>
  <r>
    <s v="B0D7PTFFZH"/>
    <x v="53"/>
    <s v="Laptop"/>
    <n v="36990"/>
    <n v="39999"/>
    <n v="7.4999999999999997E-2"/>
    <n v="3.6"/>
    <n v="459"/>
    <n v="1"/>
    <b v="0"/>
    <b v="0"/>
    <b v="0"/>
    <b v="0"/>
    <d v="2026-06-05T00:00:00"/>
    <n v="1652.4"/>
    <n v="36990"/>
    <s v="Above ₹10,000"/>
    <s v="3.0–3.9"/>
    <x v="0"/>
  </r>
  <r>
    <s v="B0FC2LKFSC"/>
    <x v="54"/>
    <s v="Laptop"/>
    <n v="54990"/>
    <n v="57990"/>
    <n v="5.1999999999999998E-2"/>
    <n v="4"/>
    <n v="180"/>
    <n v="1"/>
    <b v="0"/>
    <b v="0"/>
    <b v="0"/>
    <b v="0"/>
    <d v="2026-06-05T00:00:00"/>
    <n v="720"/>
    <n v="54990"/>
    <s v="Above ₹10,000"/>
    <s v="4.0–4.4"/>
    <x v="0"/>
  </r>
  <r>
    <s v="B0FM3C4L2F"/>
    <x v="55"/>
    <s v="Laptop"/>
    <n v="68990"/>
    <n v="83990"/>
    <n v="0.17899999999999999"/>
    <n v="4.2"/>
    <n v="872"/>
    <n v="1"/>
    <b v="0"/>
    <b v="0"/>
    <b v="0"/>
    <b v="0"/>
    <d v="2026-06-05T00:00:00"/>
    <n v="3662.4"/>
    <n v="68990"/>
    <s v="Above ₹10,000"/>
    <s v="4.0–4.4"/>
    <x v="4"/>
  </r>
  <r>
    <s v="B0GN2Y3T6M"/>
    <x v="56"/>
    <s v="Laptop"/>
    <n v="30990"/>
    <m/>
    <m/>
    <n v="2.7"/>
    <n v="10"/>
    <n v="1"/>
    <b v="0"/>
    <b v="0"/>
    <b v="0"/>
    <b v="0"/>
    <d v="2026-06-05T00:00:00"/>
    <n v="27"/>
    <n v="30990"/>
    <s v="Above ₹10,000"/>
    <s v="2.0–2.9"/>
    <x v="1"/>
  </r>
  <r>
    <s v="B0FMRSJK1L"/>
    <x v="57"/>
    <s v="Laptop"/>
    <n v="54990"/>
    <n v="56990"/>
    <n v="3.5000000000000003E-2"/>
    <n v="4.3"/>
    <n v="213"/>
    <n v="1"/>
    <b v="0"/>
    <b v="0"/>
    <b v="0"/>
    <b v="0"/>
    <d v="2026-06-05T00:00:00"/>
    <n v="915.9"/>
    <n v="54990"/>
    <s v="Above ₹10,000"/>
    <s v="4.0–4.4"/>
    <x v="0"/>
  </r>
  <r>
    <s v="B0GR64G4H6"/>
    <x v="58"/>
    <s v="Laptop"/>
    <n v="65000"/>
    <n v="69900"/>
    <n v="7.0000000000000007E-2"/>
    <n v="4.8"/>
    <n v="120"/>
    <n v="1"/>
    <b v="0"/>
    <b v="0"/>
    <b v="0"/>
    <b v="0"/>
    <d v="2026-06-05T00:00:00"/>
    <n v="576"/>
    <n v="65000"/>
    <s v="Above ₹10,000"/>
    <s v="4.5–5.0"/>
    <x v="0"/>
  </r>
  <r>
    <s v="B0GSZRGP46"/>
    <x v="59"/>
    <s v="Laptop"/>
    <n v="49300"/>
    <n v="80990"/>
    <n v="0.39100000000000001"/>
    <n v="5"/>
    <n v="1"/>
    <n v="1"/>
    <b v="0"/>
    <b v="0"/>
    <b v="0"/>
    <b v="0"/>
    <d v="2026-06-05T00:00:00"/>
    <n v="5"/>
    <n v="49300"/>
    <s v="Above ₹10,000"/>
    <s v="4.5–5.0"/>
    <x v="5"/>
  </r>
  <r>
    <s v="B0H1J4KRR9"/>
    <x v="51"/>
    <s v="Laptop"/>
    <n v="35590"/>
    <n v="54999"/>
    <n v="0.35299999999999998"/>
    <n v="5"/>
    <n v="1"/>
    <n v="1"/>
    <b v="0"/>
    <b v="0"/>
    <b v="0"/>
    <b v="0"/>
    <d v="2026-06-05T00:00:00"/>
    <n v="5"/>
    <n v="35590"/>
    <s v="Above ₹10,000"/>
    <s v="4.5–5.0"/>
    <x v="5"/>
  </r>
  <r>
    <s v="B0F4R5W1NC"/>
    <x v="60"/>
    <s v="Laptop"/>
    <n v="50040"/>
    <n v="50903"/>
    <n v="1.7000000000000001E-2"/>
    <n v="4.2"/>
    <n v="2212"/>
    <n v="1"/>
    <b v="0"/>
    <b v="0"/>
    <b v="0"/>
    <b v="0"/>
    <d v="2026-06-05T00:00:00"/>
    <n v="9290.4"/>
    <n v="50040"/>
    <s v="Above ₹10,000"/>
    <s v="4.0–4.4"/>
    <x v="0"/>
  </r>
  <r>
    <s v="B0F29HNJL1"/>
    <x v="61"/>
    <s v="Laptop"/>
    <n v="54790"/>
    <n v="99999"/>
    <n v="0.45200000000000001"/>
    <n v="4"/>
    <n v="446"/>
    <n v="1"/>
    <b v="0"/>
    <b v="0"/>
    <b v="0"/>
    <b v="0"/>
    <d v="2026-06-05T00:00:00"/>
    <n v="1784"/>
    <n v="54790"/>
    <s v="Above ₹10,000"/>
    <s v="4.0–4.4"/>
    <x v="5"/>
  </r>
  <r>
    <s v="B0D2Y1BLDT"/>
    <x v="62"/>
    <s v="Laptop"/>
    <n v="61990"/>
    <n v="73163"/>
    <n v="0.153"/>
    <n v="3.8"/>
    <n v="547"/>
    <n v="1"/>
    <b v="0"/>
    <b v="0"/>
    <b v="0"/>
    <b v="0"/>
    <d v="2026-06-05T00:00:00"/>
    <n v="2078.6"/>
    <n v="61990"/>
    <s v="Above ₹10,000"/>
    <s v="3.0–3.9"/>
    <x v="4"/>
  </r>
  <r>
    <s v="B0F8P4Y7VF"/>
    <x v="63"/>
    <s v="Laptop"/>
    <n v="79990"/>
    <n v="83704"/>
    <n v="4.3999999999999997E-2"/>
    <n v="4.2"/>
    <n v="282"/>
    <n v="1"/>
    <b v="0"/>
    <b v="0"/>
    <b v="0"/>
    <b v="0"/>
    <d v="2026-06-05T00:00:00"/>
    <n v="1184.4000000000001"/>
    <n v="79990"/>
    <s v="Above ₹10,000"/>
    <s v="4.0–4.4"/>
    <x v="0"/>
  </r>
  <r>
    <s v="B0GR1RQ144"/>
    <x v="64"/>
    <s v="Laptop"/>
    <n v="110300"/>
    <n v="119900"/>
    <n v="0.08"/>
    <n v="4.9000000000000004"/>
    <n v="25"/>
    <n v="1"/>
    <b v="0"/>
    <b v="0"/>
    <b v="0"/>
    <b v="0"/>
    <d v="2026-06-05T00:00:00"/>
    <n v="122.50000000000001"/>
    <n v="110300"/>
    <s v="Above ₹10,000"/>
    <s v="4.5–5.0"/>
    <x v="0"/>
  </r>
  <r>
    <s v="B0GR68779Y"/>
    <x v="65"/>
    <s v="Laptop"/>
    <n v="65000"/>
    <n v="69900"/>
    <n v="7.0000000000000007E-2"/>
    <n v="4.8"/>
    <n v="120"/>
    <n v="1"/>
    <b v="0"/>
    <b v="0"/>
    <b v="0"/>
    <b v="0"/>
    <d v="2026-06-05T00:00:00"/>
    <n v="576"/>
    <n v="65000"/>
    <s v="Above ₹10,000"/>
    <s v="4.5–5.0"/>
    <x v="0"/>
  </r>
  <r>
    <s v="B0GR1HPR1W"/>
    <x v="66"/>
    <s v="Laptop"/>
    <n v="110290"/>
    <n v="119900"/>
    <n v="0.08"/>
    <n v="4.5"/>
    <n v="34"/>
    <n v="1"/>
    <b v="0"/>
    <b v="0"/>
    <b v="0"/>
    <b v="0"/>
    <d v="2026-06-05T00:00:00"/>
    <n v="153"/>
    <n v="110290"/>
    <s v="Above ₹10,000"/>
    <s v="4.5–5.0"/>
    <x v="0"/>
  </r>
  <r>
    <s v="B0FJYJP1L6"/>
    <x v="67"/>
    <s v="Laptop"/>
    <n v="90990"/>
    <n v="95746"/>
    <n v="0.05"/>
    <n v="4.2"/>
    <n v="90"/>
    <n v="1"/>
    <b v="0"/>
    <b v="0"/>
    <b v="0"/>
    <b v="0"/>
    <d v="2026-06-05T00:00:00"/>
    <n v="378"/>
    <n v="90990"/>
    <s v="Above ₹10,000"/>
    <s v="4.0–4.4"/>
    <x v="0"/>
  </r>
  <r>
    <s v="B0F2162VGQ"/>
    <x v="68"/>
    <s v="Laptop"/>
    <n v="79990"/>
    <n v="89390"/>
    <n v="0.105"/>
    <n v="4.0999999999999996"/>
    <n v="436"/>
    <n v="1"/>
    <b v="0"/>
    <b v="0"/>
    <b v="0"/>
    <b v="0"/>
    <d v="2026-06-05T00:00:00"/>
    <n v="1787.6"/>
    <n v="79990"/>
    <s v="Above ₹10,000"/>
    <s v="4.0–4.4"/>
    <x v="4"/>
  </r>
  <r>
    <s v="B0GYHPP3Y1"/>
    <x v="69"/>
    <s v="Laptop"/>
    <n v="34990"/>
    <n v="79990"/>
    <n v="0.56299999999999994"/>
    <m/>
    <n v="0"/>
    <n v="1"/>
    <b v="0"/>
    <b v="0"/>
    <b v="0"/>
    <b v="0"/>
    <d v="2026-06-05T00:00:00"/>
    <s v=""/>
    <n v="34990"/>
    <s v="Above ₹10,000"/>
    <s v="Not Rated"/>
    <x v="3"/>
  </r>
  <r>
    <s v="B09BB766ZL"/>
    <x v="70"/>
    <s v="Laptop"/>
    <n v="124990"/>
    <n v="153990"/>
    <n v="0.188"/>
    <m/>
    <n v="0"/>
    <n v="1"/>
    <b v="0"/>
    <b v="0"/>
    <b v="0"/>
    <b v="0"/>
    <d v="2026-06-05T00:00:00"/>
    <s v=""/>
    <n v="124990"/>
    <s v="Above ₹10,000"/>
    <s v="Not Rated"/>
    <x v="4"/>
  </r>
  <r>
    <s v="B0GYRJZZ29"/>
    <x v="71"/>
    <s v="Laptop"/>
    <n v="41990"/>
    <n v="74999"/>
    <n v="0.44"/>
    <m/>
    <n v="0"/>
    <n v="1"/>
    <b v="0"/>
    <b v="0"/>
    <b v="0"/>
    <b v="0"/>
    <d v="2026-06-05T00:00:00"/>
    <s v=""/>
    <n v="41990"/>
    <s v="Above ₹10,000"/>
    <s v="Not Rated"/>
    <x v="5"/>
  </r>
  <r>
    <s v="B0G3B47HZF"/>
    <x v="72"/>
    <s v="Laptop"/>
    <n v="109539"/>
    <n v="131290"/>
    <n v="0.16600000000000001"/>
    <n v="4.7"/>
    <n v="8"/>
    <n v="7"/>
    <b v="0"/>
    <b v="0"/>
    <b v="0"/>
    <b v="0"/>
    <d v="2026-06-05T00:00:00"/>
    <n v="37.6"/>
    <n v="109539"/>
    <s v="Above ₹10,000"/>
    <s v="4.5–5.0"/>
    <x v="4"/>
  </r>
  <r>
    <s v="B0GR67GHSV"/>
    <x v="73"/>
    <s v="Laptop"/>
    <n v="77900"/>
    <n v="79900"/>
    <n v="2.5000000000000001E-2"/>
    <n v="4.8"/>
    <n v="120"/>
    <n v="1"/>
    <b v="0"/>
    <b v="0"/>
    <b v="0"/>
    <b v="0"/>
    <d v="2026-06-05T00:00:00"/>
    <n v="576"/>
    <n v="77900"/>
    <s v="Above ₹10,000"/>
    <s v="4.5–5.0"/>
    <x v="0"/>
  </r>
  <r>
    <s v="B0F4R3GFMQ"/>
    <x v="74"/>
    <s v="Laptop"/>
    <n v="52690"/>
    <n v="52720.160000000003"/>
    <n v="1E-3"/>
    <n v="4.2"/>
    <n v="551"/>
    <n v="1"/>
    <b v="0"/>
    <b v="0"/>
    <b v="0"/>
    <b v="0"/>
    <d v="2026-06-05T00:00:00"/>
    <n v="2314.2000000000003"/>
    <n v="52690"/>
    <s v="Above ₹10,000"/>
    <s v="4.0–4.4"/>
    <x v="0"/>
  </r>
  <r>
    <s v="B0GY7VGHDQ"/>
    <x v="75"/>
    <s v="Laptop"/>
    <n v="48902"/>
    <n v="89990"/>
    <n v="0.45700000000000002"/>
    <m/>
    <n v="0"/>
    <n v="1"/>
    <b v="0"/>
    <b v="0"/>
    <b v="0"/>
    <b v="0"/>
    <d v="2026-06-05T00:00:00"/>
    <s v=""/>
    <n v="48902"/>
    <s v="Above ₹10,000"/>
    <s v="Not Rated"/>
    <x v="5"/>
  </r>
  <r>
    <s v="B0872G2MPV"/>
    <x v="76"/>
    <s v="Laptop"/>
    <n v="43999"/>
    <n v="99000"/>
    <n v="0.55600000000000005"/>
    <n v="3.9"/>
    <n v="41"/>
    <n v="1"/>
    <b v="0"/>
    <b v="0"/>
    <b v="0"/>
    <b v="0"/>
    <d v="2026-06-05T00:00:00"/>
    <n v="159.9"/>
    <n v="43999"/>
    <s v="Above ₹10,000"/>
    <s v="3.0–3.9"/>
    <x v="3"/>
  </r>
  <r>
    <s v="B0GY8KNSFC"/>
    <x v="77"/>
    <s v="Laptop"/>
    <n v="73990"/>
    <n v="108510"/>
    <n v="0.318"/>
    <n v="3"/>
    <n v="2"/>
    <n v="1"/>
    <b v="0"/>
    <b v="0"/>
    <b v="0"/>
    <b v="0"/>
    <d v="2026-06-05T00:00:00"/>
    <n v="6"/>
    <n v="73990"/>
    <s v="Above ₹10,000"/>
    <s v="3.0–3.9"/>
    <x v="5"/>
  </r>
  <r>
    <s v="B0CWTYGPH8"/>
    <x v="78"/>
    <s v="Laptop"/>
    <n v="49790"/>
    <n v="49990"/>
    <n v="4.0000000000000001E-3"/>
    <n v="4"/>
    <n v="358"/>
    <n v="1"/>
    <b v="0"/>
    <b v="0"/>
    <b v="0"/>
    <b v="0"/>
    <d v="2026-06-05T00:00:00"/>
    <n v="1432"/>
    <n v="49790"/>
    <s v="Above ₹10,000"/>
    <s v="4.0–4.4"/>
    <x v="0"/>
  </r>
  <r>
    <s v="B0GFP4WSMB"/>
    <x v="79"/>
    <s v="Laptop"/>
    <n v="61700"/>
    <n v="85000"/>
    <n v="0.27400000000000002"/>
    <n v="5"/>
    <n v="1"/>
    <n v="1"/>
    <b v="0"/>
    <b v="0"/>
    <b v="0"/>
    <b v="0"/>
    <d v="2026-06-05T00:00:00"/>
    <n v="5"/>
    <n v="61700"/>
    <s v="Above ₹10,000"/>
    <s v="4.5–5.0"/>
    <x v="2"/>
  </r>
  <r>
    <s v="B0GVT7T169"/>
    <x v="80"/>
    <s v="Laptop"/>
    <n v="58990"/>
    <n v="73990"/>
    <n v="0.20300000000000001"/>
    <m/>
    <n v="0"/>
    <n v="1"/>
    <b v="0"/>
    <b v="0"/>
    <b v="0"/>
    <b v="0"/>
    <d v="2026-06-05T00:00:00"/>
    <s v=""/>
    <n v="58990"/>
    <s v="Above ₹10,000"/>
    <s v="Not Rated"/>
    <x v="2"/>
  </r>
  <r>
    <s v="B0FK59XW2C"/>
    <x v="81"/>
    <s v="Laptop"/>
    <n v="129990"/>
    <n v="139990"/>
    <n v="7.0999999999999994E-2"/>
    <n v="4.8"/>
    <n v="10"/>
    <n v="1"/>
    <b v="0"/>
    <b v="0"/>
    <b v="0"/>
    <b v="0"/>
    <d v="2026-06-05T00:00:00"/>
    <n v="48"/>
    <n v="129990"/>
    <s v="Above ₹10,000"/>
    <s v="4.5–5.0"/>
    <x v="0"/>
  </r>
  <r>
    <s v="B0F5B1N9SJ"/>
    <x v="82"/>
    <s v="Laptop"/>
    <n v="74990"/>
    <n v="86451"/>
    <n v="0.13300000000000001"/>
    <n v="3.8"/>
    <n v="366"/>
    <n v="1"/>
    <b v="0"/>
    <b v="0"/>
    <b v="0"/>
    <b v="0"/>
    <d v="2026-06-05T00:00:00"/>
    <n v="1390.8"/>
    <n v="74990"/>
    <s v="Above ₹10,000"/>
    <s v="3.0–3.9"/>
    <x v="4"/>
  </r>
  <r>
    <s v="B0FVX5P8LB"/>
    <x v="83"/>
    <s v="Laptop"/>
    <n v="65990"/>
    <n v="84990"/>
    <n v="0.224"/>
    <n v="3.7"/>
    <n v="2"/>
    <n v="1"/>
    <b v="0"/>
    <b v="0"/>
    <b v="0"/>
    <b v="0"/>
    <d v="2026-06-05T00:00:00"/>
    <n v="7.4"/>
    <n v="65990"/>
    <s v="Above ₹10,000"/>
    <s v="3.0–3.9"/>
    <x v="2"/>
  </r>
  <r>
    <s v="B0GHSN1N24"/>
    <x v="84"/>
    <s v="Laptop"/>
    <n v="52300"/>
    <n v="75000"/>
    <n v="0.30299999999999999"/>
    <m/>
    <n v="0"/>
    <n v="1"/>
    <b v="0"/>
    <b v="0"/>
    <b v="0"/>
    <b v="0"/>
    <d v="2026-06-05T00:00:00"/>
    <s v=""/>
    <n v="52300"/>
    <s v="Above ₹10,000"/>
    <s v="Not Rated"/>
    <x v="5"/>
  </r>
  <r>
    <s v="B0H1W663BW"/>
    <x v="85"/>
    <s v="Laptop"/>
    <n v="22800"/>
    <n v="44999"/>
    <n v="0.49299999999999999"/>
    <m/>
    <n v="0"/>
    <n v="1"/>
    <b v="0"/>
    <b v="0"/>
    <b v="0"/>
    <b v="0"/>
    <d v="2026-06-05T00:00:00"/>
    <s v=""/>
    <n v="22800"/>
    <s v="Above ₹10,000"/>
    <s v="Not Rated"/>
    <x v="5"/>
  </r>
  <r>
    <s v="B0F9X5DSBS"/>
    <x v="86"/>
    <s v="Laptop"/>
    <n v="149990"/>
    <n v="173990"/>
    <n v="0.13800000000000001"/>
    <n v="4.4000000000000004"/>
    <n v="96"/>
    <n v="1"/>
    <b v="0"/>
    <b v="0"/>
    <b v="0"/>
    <b v="0"/>
    <d v="2026-06-05T00:00:00"/>
    <n v="422.40000000000003"/>
    <n v="149990"/>
    <s v="Above ₹10,000"/>
    <s v="4.0–4.4"/>
    <x v="4"/>
  </r>
  <r>
    <s v="B0F8QB4SBH"/>
    <x v="87"/>
    <s v="Laptop"/>
    <n v="49650"/>
    <n v="85000"/>
    <n v="0.41599999999999998"/>
    <n v="3.1"/>
    <n v="2"/>
    <n v="1"/>
    <b v="0"/>
    <b v="0"/>
    <b v="0"/>
    <b v="0"/>
    <d v="2026-06-05T00:00:00"/>
    <n v="6.2"/>
    <n v="49650"/>
    <s v="Above ₹10,000"/>
    <s v="3.0–3.9"/>
    <x v="5"/>
  </r>
  <r>
    <s v="B0GNK6BHB2"/>
    <x v="88"/>
    <s v="Laptop"/>
    <n v="43660"/>
    <n v="55000"/>
    <n v="0.20599999999999999"/>
    <n v="4.3"/>
    <n v="4"/>
    <n v="1"/>
    <b v="0"/>
    <b v="0"/>
    <b v="0"/>
    <b v="0"/>
    <d v="2026-06-05T00:00:00"/>
    <n v="17.2"/>
    <n v="43660"/>
    <s v="Above ₹10,000"/>
    <s v="4.0–4.4"/>
    <x v="2"/>
  </r>
  <r>
    <s v="B0CRKX3JRT"/>
    <x v="89"/>
    <s v="Laptop"/>
    <n v="76990"/>
    <n v="103436"/>
    <n v="0.25600000000000001"/>
    <n v="4"/>
    <n v="1506"/>
    <n v="1"/>
    <b v="0"/>
    <b v="0"/>
    <b v="0"/>
    <b v="0"/>
    <d v="2026-06-05T00:00:00"/>
    <n v="6024"/>
    <n v="76990"/>
    <s v="Above ₹10,000"/>
    <s v="4.0–4.4"/>
    <x v="2"/>
  </r>
  <r>
    <s v="B0GLXWY8ZX"/>
    <x v="90"/>
    <s v="Laptop"/>
    <n v="39990"/>
    <n v="49990"/>
    <n v="0.2"/>
    <n v="2.7"/>
    <n v="11"/>
    <n v="1"/>
    <b v="0"/>
    <b v="0"/>
    <b v="0"/>
    <b v="0"/>
    <d v="2026-06-05T00:00:00"/>
    <n v="29.700000000000003"/>
    <n v="39990"/>
    <s v="Above ₹10,000"/>
    <s v="2.0–2.9"/>
    <x v="2"/>
  </r>
  <r>
    <s v="B0C3D8BZVQ"/>
    <x v="91"/>
    <s v="Laptop"/>
    <n v="55490"/>
    <n v="55691"/>
    <n v="4.0000000000000001E-3"/>
    <n v="4.2"/>
    <n v="71"/>
    <n v="1"/>
    <b v="0"/>
    <b v="0"/>
    <b v="0"/>
    <b v="0"/>
    <d v="2026-06-05T00:00:00"/>
    <n v="298.2"/>
    <n v="55490"/>
    <s v="Above ₹10,000"/>
    <s v="4.0–4.4"/>
    <x v="0"/>
  </r>
  <r>
    <s v="B0G3PMNXLJ"/>
    <x v="92"/>
    <s v="Laptop"/>
    <n v="48990"/>
    <n v="49631"/>
    <n v="1.2999999999999999E-2"/>
    <m/>
    <n v="0"/>
    <n v="1"/>
    <b v="0"/>
    <b v="0"/>
    <b v="0"/>
    <b v="0"/>
    <d v="2026-06-05T00:00:00"/>
    <s v=""/>
    <n v="48990"/>
    <s v="Above ₹10,000"/>
    <s v="Not Rated"/>
    <x v="0"/>
  </r>
  <r>
    <s v="B0FHY9XRGT"/>
    <x v="93"/>
    <s v="Laptop"/>
    <n v="343990"/>
    <n v="407392"/>
    <n v="0.156"/>
    <m/>
    <n v="0"/>
    <n v="1"/>
    <b v="0"/>
    <b v="0"/>
    <b v="0"/>
    <b v="0"/>
    <d v="2026-06-05T00:00:00"/>
    <s v=""/>
    <n v="343990"/>
    <s v="Above ₹10,000"/>
    <s v="Not Rated"/>
    <x v="4"/>
  </r>
  <r>
    <s v="B0FFTLRYRV"/>
    <x v="94"/>
    <s v="Laptop"/>
    <n v="67990"/>
    <n v="69629"/>
    <n v="2.4E-2"/>
    <n v="3.9"/>
    <n v="9"/>
    <n v="1"/>
    <b v="0"/>
    <b v="0"/>
    <b v="0"/>
    <b v="0"/>
    <d v="2026-06-05T00:00:00"/>
    <n v="35.1"/>
    <n v="67990"/>
    <s v="Above ₹10,000"/>
    <s v="3.0–3.9"/>
    <x v="0"/>
  </r>
  <r>
    <s v="B0GXDP9V8C"/>
    <x v="95"/>
    <s v="Headphones"/>
    <n v="299"/>
    <n v="999"/>
    <n v="0.70099999999999996"/>
    <n v="2.7"/>
    <n v="9"/>
    <n v="1"/>
    <b v="0"/>
    <b v="0"/>
    <b v="0"/>
    <b v="0"/>
    <d v="2026-06-05T00:00:00"/>
    <n v="24.3"/>
    <n v="299"/>
    <s v="Under ₹500"/>
    <s v="2.0–2.9"/>
    <x v="3"/>
  </r>
  <r>
    <s v="B0F5PX1JVY"/>
    <x v="96"/>
    <s v="Headphones"/>
    <n v="4490"/>
    <n v="5990"/>
    <n v="0.25"/>
    <n v="4.2"/>
    <n v="29505"/>
    <n v="1"/>
    <b v="0"/>
    <b v="0"/>
    <b v="0"/>
    <b v="0"/>
    <d v="2026-06-05T00:00:00"/>
    <n v="123921"/>
    <n v="4490"/>
    <s v="₹1,000–₹5,000"/>
    <s v="4.0–4.4"/>
    <x v="2"/>
  </r>
  <r>
    <s v="B0FQJQDPF7"/>
    <x v="97"/>
    <s v="Headphones"/>
    <n v="649"/>
    <n v="2599"/>
    <n v="0.75"/>
    <n v="3.8"/>
    <n v="459"/>
    <n v="1"/>
    <b v="0"/>
    <b v="0"/>
    <b v="0"/>
    <b v="0"/>
    <d v="2026-06-05T00:00:00"/>
    <n v="1744.1999999999998"/>
    <n v="649"/>
    <s v="₹500–₹1,000"/>
    <s v="3.0–3.9"/>
    <x v="3"/>
  </r>
  <r>
    <s v="B00KGZZ824"/>
    <x v="98"/>
    <s v="Headphones"/>
    <n v="559"/>
    <n v="1390"/>
    <n v="0.59799999999999998"/>
    <n v="4"/>
    <n v="67452"/>
    <n v="1"/>
    <b v="0"/>
    <b v="0"/>
    <b v="1"/>
    <b v="0"/>
    <d v="2026-06-05T00:00:00"/>
    <n v="269808"/>
    <n v="559"/>
    <s v="₹500–₹1,000"/>
    <s v="4.0–4.4"/>
    <x v="3"/>
  </r>
  <r>
    <s v="B09B5BS6G4"/>
    <x v="99"/>
    <s v="Headphones"/>
    <n v="749"/>
    <n v="1699"/>
    <n v="0.55900000000000005"/>
    <n v="3.8"/>
    <n v="81867"/>
    <n v="1"/>
    <b v="0"/>
    <b v="0"/>
    <b v="0"/>
    <b v="0"/>
    <d v="2026-06-05T00:00:00"/>
    <n v="311094.59999999998"/>
    <n v="749"/>
    <s v="₹500–₹1,000"/>
    <s v="3.0–3.9"/>
    <x v="3"/>
  </r>
  <r>
    <s v="B0DGTTKCJX"/>
    <x v="100"/>
    <s v="Headphones"/>
    <n v="1599"/>
    <n v="3790"/>
    <n v="0.57799999999999996"/>
    <n v="4.0999999999999996"/>
    <n v="3939"/>
    <n v="1"/>
    <b v="0"/>
    <b v="0"/>
    <b v="0"/>
    <b v="0"/>
    <d v="2026-06-05T00:00:00"/>
    <n v="16149.899999999998"/>
    <n v="1599"/>
    <s v="₹1,000–₹5,000"/>
    <s v="4.0–4.4"/>
    <x v="3"/>
  </r>
  <r>
    <s v="B0CWVX1GNX"/>
    <x v="101"/>
    <s v="Headphones"/>
    <n v="16990"/>
    <n v="24990"/>
    <n v="0.32"/>
    <n v="4.3"/>
    <n v="3467"/>
    <n v="1"/>
    <b v="0"/>
    <b v="0"/>
    <b v="0"/>
    <b v="0"/>
    <d v="2026-06-05T00:00:00"/>
    <n v="14908.099999999999"/>
    <n v="16990"/>
    <s v="Above ₹10,000"/>
    <s v="4.0–4.4"/>
    <x v="5"/>
  </r>
  <r>
    <s v="B0F7LY85KB"/>
    <x v="102"/>
    <s v="Headphones"/>
    <n v="1099"/>
    <n v="2490"/>
    <n v="0.55900000000000005"/>
    <n v="3.9"/>
    <n v="2079"/>
    <n v="1"/>
    <b v="0"/>
    <b v="0"/>
    <b v="0"/>
    <b v="0"/>
    <d v="2026-06-05T00:00:00"/>
    <n v="8108.0999999999995"/>
    <n v="1099"/>
    <s v="₹1,000–₹5,000"/>
    <s v="3.0–3.9"/>
    <x v="3"/>
  </r>
  <r>
    <s v="B09R24HMNW"/>
    <x v="103"/>
    <s v="Headphones"/>
    <n v="139"/>
    <n v="399"/>
    <n v="0.65200000000000002"/>
    <n v="3.5"/>
    <n v="69921"/>
    <n v="1"/>
    <b v="0"/>
    <b v="0"/>
    <b v="0"/>
    <b v="0"/>
    <d v="2026-06-05T00:00:00"/>
    <n v="244723.5"/>
    <n v="139"/>
    <s v="Under ₹500"/>
    <s v="3.0–3.9"/>
    <x v="3"/>
  </r>
  <r>
    <s v="B0BXXPG6FP"/>
    <x v="104"/>
    <s v="Headphones"/>
    <n v="9431"/>
    <n v="14990"/>
    <n v="0.371"/>
    <n v="4.3"/>
    <n v="15735"/>
    <n v="1"/>
    <b v="0"/>
    <b v="0"/>
    <b v="0"/>
    <b v="0"/>
    <d v="2026-06-05T00:00:00"/>
    <n v="67660.5"/>
    <n v="9431"/>
    <s v="₹5,000–₹10,000"/>
    <s v="4.0–4.4"/>
    <x v="5"/>
  </r>
  <r>
    <s v="B0GXDPKM5J"/>
    <x v="95"/>
    <s v="Headphones"/>
    <n v="299"/>
    <n v="999"/>
    <n v="0.70099999999999996"/>
    <n v="2.7"/>
    <n v="9"/>
    <n v="1"/>
    <b v="0"/>
    <b v="0"/>
    <b v="0"/>
    <b v="0"/>
    <d v="2026-06-05T00:00:00"/>
    <n v="24.3"/>
    <n v="299"/>
    <s v="Under ₹500"/>
    <s v="2.0–2.9"/>
    <x v="3"/>
  </r>
  <r>
    <s v="B0FC2Y8XYF"/>
    <x v="105"/>
    <s v="Headphones"/>
    <n v="1199"/>
    <n v="2999"/>
    <n v="0.6"/>
    <n v="4.2"/>
    <n v="28473"/>
    <n v="1"/>
    <b v="0"/>
    <b v="0"/>
    <b v="0"/>
    <b v="0"/>
    <d v="2026-06-05T00:00:00"/>
    <n v="119586.6"/>
    <n v="1199"/>
    <s v="₹1,000–₹5,000"/>
    <s v="4.0–4.4"/>
    <x v="3"/>
  </r>
  <r>
    <s v="B0FGTZ19JS"/>
    <x v="106"/>
    <s v="Headphones"/>
    <n v="797"/>
    <n v="3199"/>
    <n v="0.751"/>
    <n v="4.0999999999999996"/>
    <n v="1916"/>
    <n v="1"/>
    <b v="0"/>
    <b v="0"/>
    <b v="0"/>
    <b v="0"/>
    <d v="2026-06-05T00:00:00"/>
    <n v="7855.5999999999995"/>
    <n v="797"/>
    <s v="₹500–₹1,000"/>
    <s v="4.0–4.4"/>
    <x v="3"/>
  </r>
  <r>
    <s v="B09CYX92NB"/>
    <x v="107"/>
    <s v="Headphones"/>
    <n v="4999"/>
    <n v="9999"/>
    <n v="0.5"/>
    <n v="4.0999999999999996"/>
    <n v="11390"/>
    <n v="1"/>
    <b v="0"/>
    <b v="0"/>
    <b v="0"/>
    <b v="0"/>
    <d v="2026-06-05T00:00:00"/>
    <n v="46698.999999999993"/>
    <n v="4999"/>
    <s v="₹1,000–₹5,000"/>
    <s v="4.0–4.4"/>
    <x v="3"/>
  </r>
  <r>
    <s v="B0FG2QT7H2"/>
    <x v="108"/>
    <s v="Headphones"/>
    <n v="2699"/>
    <n v="7990"/>
    <n v="0.66200000000000003"/>
    <n v="4.2"/>
    <n v="31059"/>
    <n v="1"/>
    <b v="0"/>
    <b v="0"/>
    <b v="0"/>
    <b v="0"/>
    <d v="2026-06-05T00:00:00"/>
    <n v="130447.8"/>
    <n v="2699"/>
    <s v="₹1,000–₹5,000"/>
    <s v="4.0–4.4"/>
    <x v="3"/>
  </r>
  <r>
    <s v="B0B4G44RFS"/>
    <x v="109"/>
    <s v="Headphones"/>
    <n v="449"/>
    <n v="799"/>
    <n v="0.438"/>
    <n v="3.7"/>
    <n v="4662"/>
    <n v="1"/>
    <b v="0"/>
    <b v="0"/>
    <b v="0"/>
    <b v="0"/>
    <d v="2026-06-05T00:00:00"/>
    <n v="17249.400000000001"/>
    <n v="449"/>
    <s v="Under ₹500"/>
    <s v="3.0–3.9"/>
    <x v="5"/>
  </r>
  <r>
    <s v="B0CY1PL36Q"/>
    <x v="110"/>
    <s v="Headphones"/>
    <n v="2499"/>
    <n v="5999"/>
    <n v="0.58299999999999996"/>
    <n v="3.8"/>
    <n v="4353"/>
    <n v="1"/>
    <b v="0"/>
    <b v="0"/>
    <b v="0"/>
    <b v="0"/>
    <d v="2026-06-05T00:00:00"/>
    <n v="16541.399999999998"/>
    <n v="2499"/>
    <s v="₹1,000–₹5,000"/>
    <s v="3.0–3.9"/>
    <x v="3"/>
  </r>
  <r>
    <s v="B0B1PX62WJ"/>
    <x v="111"/>
    <s v="Headphones"/>
    <n v="1499"/>
    <n v="4999"/>
    <n v="0.7"/>
    <n v="3.7"/>
    <n v="4693"/>
    <n v="1"/>
    <b v="0"/>
    <b v="0"/>
    <b v="0"/>
    <b v="0"/>
    <d v="2026-06-05T00:00:00"/>
    <n v="17364.100000000002"/>
    <n v="1499"/>
    <s v="₹1,000–₹5,000"/>
    <s v="3.0–3.9"/>
    <x v="3"/>
  </r>
  <r>
    <s v="B0DV5GLTLZ"/>
    <x v="112"/>
    <s v="Headphones"/>
    <n v="2699"/>
    <n v="8990"/>
    <n v="0.7"/>
    <n v="4.2"/>
    <n v="3871"/>
    <n v="1"/>
    <b v="0"/>
    <b v="0"/>
    <b v="0"/>
    <b v="0"/>
    <d v="2026-06-05T00:00:00"/>
    <n v="16258.2"/>
    <n v="2699"/>
    <s v="₹1,000–₹5,000"/>
    <s v="4.0–4.4"/>
    <x v="3"/>
  </r>
  <r>
    <s v="B00Y4ORQ46"/>
    <x v="113"/>
    <s v="Headphones"/>
    <n v="745"/>
    <n v="955"/>
    <n v="0.22"/>
    <n v="3.9"/>
    <n v="20495"/>
    <n v="1"/>
    <b v="0"/>
    <b v="0"/>
    <b v="0"/>
    <b v="0"/>
    <d v="2026-06-05T00:00:00"/>
    <n v="79930.5"/>
    <n v="745"/>
    <s v="₹500–₹1,000"/>
    <s v="3.0–3.9"/>
    <x v="2"/>
  </r>
  <r>
    <s v="B071Z8M4KX"/>
    <x v="114"/>
    <s v="Headphones"/>
    <n v="349"/>
    <n v="999"/>
    <n v="0.65100000000000002"/>
    <n v="4.0999999999999996"/>
    <n v="435089"/>
    <n v="1"/>
    <b v="0"/>
    <b v="0"/>
    <b v="0"/>
    <b v="0"/>
    <d v="2026-06-05T00:00:00"/>
    <n v="1783864.9"/>
    <n v="349"/>
    <s v="Under ₹500"/>
    <s v="4.0–4.4"/>
    <x v="3"/>
  </r>
  <r>
    <s v="B0FHHKP966"/>
    <x v="115"/>
    <s v="Headphones"/>
    <n v="299"/>
    <n v="599"/>
    <n v="0.501"/>
    <n v="4"/>
    <n v="118740"/>
    <n v="1"/>
    <b v="0"/>
    <b v="0"/>
    <b v="0"/>
    <b v="0"/>
    <d v="2026-06-05T00:00:00"/>
    <n v="474960"/>
    <n v="299"/>
    <s v="Under ₹500"/>
    <s v="4.0–4.4"/>
    <x v="3"/>
  </r>
  <r>
    <s v="B0FHHM74H8"/>
    <x v="116"/>
    <s v="Headphones"/>
    <n v="1899"/>
    <n v="4990"/>
    <n v="0.61899999999999999"/>
    <n v="4.0999999999999996"/>
    <n v="66390"/>
    <n v="1"/>
    <b v="0"/>
    <b v="0"/>
    <b v="0"/>
    <b v="0"/>
    <d v="2026-06-05T00:00:00"/>
    <n v="272199"/>
    <n v="1899"/>
    <s v="₹1,000–₹5,000"/>
    <s v="4.0–4.4"/>
    <x v="3"/>
  </r>
  <r>
    <s v="B08KHT2HDT"/>
    <x v="117"/>
    <s v="Headphones"/>
    <n v="9999"/>
    <n v="14999"/>
    <n v="0.33300000000000002"/>
    <n v="4.3"/>
    <n v="16791"/>
    <n v="1"/>
    <b v="0"/>
    <b v="0"/>
    <b v="0"/>
    <b v="0"/>
    <d v="2026-06-05T00:00:00"/>
    <n v="72201.3"/>
    <n v="9999"/>
    <s v="₹5,000–₹10,000"/>
    <s v="4.0–4.4"/>
    <x v="5"/>
  </r>
  <r>
    <s v="B074ZF7PVZ"/>
    <x v="118"/>
    <s v="Headphones"/>
    <n v="899"/>
    <n v="2490"/>
    <n v="0.63900000000000001"/>
    <n v="4.2"/>
    <n v="78437"/>
    <n v="1"/>
    <b v="0"/>
    <b v="0"/>
    <b v="0"/>
    <b v="0"/>
    <d v="2026-06-05T00:00:00"/>
    <n v="329435.40000000002"/>
    <n v="899"/>
    <s v="₹500–₹1,000"/>
    <s v="4.0–4.4"/>
    <x v="3"/>
  </r>
  <r>
    <s v="B0DT9T945X"/>
    <x v="119"/>
    <s v="Headphones"/>
    <n v="2499"/>
    <n v="6999"/>
    <n v="0.64300000000000002"/>
    <n v="4"/>
    <n v="1215"/>
    <n v="1"/>
    <b v="0"/>
    <b v="0"/>
    <b v="0"/>
    <b v="0"/>
    <d v="2026-06-05T00:00:00"/>
    <n v="4860"/>
    <n v="2499"/>
    <s v="₹1,000–₹5,000"/>
    <s v="4.0–4.4"/>
    <x v="3"/>
  </r>
  <r>
    <s v="B0GXL3373V"/>
    <x v="120"/>
    <s v="Headphones"/>
    <n v="1999"/>
    <n v="5999"/>
    <n v="0.66700000000000004"/>
    <n v="4.0999999999999996"/>
    <n v="101"/>
    <n v="1"/>
    <b v="0"/>
    <b v="0"/>
    <b v="0"/>
    <b v="0"/>
    <d v="2026-06-05T00:00:00"/>
    <n v="414.09999999999997"/>
    <n v="1999"/>
    <s v="₹1,000–₹5,000"/>
    <s v="4.0–4.4"/>
    <x v="3"/>
  </r>
  <r>
    <s v="B01DF26V7A"/>
    <x v="121"/>
    <s v="Headphones"/>
    <n v="649"/>
    <n v="1299"/>
    <n v="0.5"/>
    <n v="4.0999999999999996"/>
    <n v="205880"/>
    <n v="1"/>
    <b v="0"/>
    <b v="0"/>
    <b v="0"/>
    <b v="0"/>
    <d v="2026-06-05T00:00:00"/>
    <n v="844107.99999999988"/>
    <n v="649"/>
    <s v="₹500–₹1,000"/>
    <s v="4.0–4.4"/>
    <x v="3"/>
  </r>
  <r>
    <s v="B08WBJHVYV"/>
    <x v="122"/>
    <s v="Headphones"/>
    <n v="3999"/>
    <n v="7999"/>
    <n v="0.5"/>
    <n v="4.4000000000000004"/>
    <n v="4443"/>
    <n v="1"/>
    <b v="0"/>
    <b v="0"/>
    <b v="0"/>
    <b v="0"/>
    <d v="2026-06-05T00:00:00"/>
    <n v="19549.2"/>
    <n v="3999"/>
    <s v="₹1,000–₹5,000"/>
    <s v="4.0–4.4"/>
    <x v="3"/>
  </r>
  <r>
    <s v="B00SAYCXWG"/>
    <x v="123"/>
    <s v="Headphones"/>
    <n v="5499"/>
    <n v="12987"/>
    <n v="0.57699999999999996"/>
    <n v="4.3"/>
    <n v="97953"/>
    <n v="1"/>
    <b v="0"/>
    <b v="0"/>
    <b v="0"/>
    <b v="0"/>
    <d v="2026-06-05T00:00:00"/>
    <n v="421197.89999999997"/>
    <n v="5499"/>
    <s v="₹5,000–₹10,000"/>
    <s v="4.0–4.4"/>
    <x v="3"/>
  </r>
  <r>
    <s v="B0GXDT4CHF"/>
    <x v="95"/>
    <s v="Headphones"/>
    <n v="299"/>
    <n v="999"/>
    <n v="0.70099999999999996"/>
    <n v="2.7"/>
    <n v="9"/>
    <n v="1"/>
    <b v="0"/>
    <b v="0"/>
    <b v="0"/>
    <b v="0"/>
    <d v="2026-06-05T00:00:00"/>
    <n v="24.3"/>
    <n v="299"/>
    <s v="Under ₹500"/>
    <s v="2.0–2.9"/>
    <x v="3"/>
  </r>
  <r>
    <s v="B0DGX1VCWX"/>
    <x v="124"/>
    <s v="Headphones"/>
    <n v="2499"/>
    <n v="5899"/>
    <n v="0.57599999999999996"/>
    <n v="4.3"/>
    <n v="124"/>
    <n v="1"/>
    <b v="0"/>
    <b v="0"/>
    <b v="0"/>
    <b v="0"/>
    <d v="2026-06-05T00:00:00"/>
    <n v="533.19999999999993"/>
    <n v="2499"/>
    <s v="₹1,000–₹5,000"/>
    <s v="4.0–4.4"/>
    <x v="3"/>
  </r>
  <r>
    <s v="B0FRSD3CF5"/>
    <x v="125"/>
    <s v="Headphones"/>
    <n v="998"/>
    <n v="2999"/>
    <n v="0.66700000000000004"/>
    <n v="4"/>
    <n v="116"/>
    <n v="2"/>
    <b v="0"/>
    <b v="0"/>
    <b v="0"/>
    <b v="0"/>
    <d v="2026-06-05T00:00:00"/>
    <n v="464"/>
    <n v="998"/>
    <s v="₹500–₹1,000"/>
    <s v="4.0–4.4"/>
    <x v="3"/>
  </r>
  <r>
    <s v="B0D7QKT1N2"/>
    <x v="126"/>
    <s v="Headphones"/>
    <n v="299"/>
    <n v="999"/>
    <n v="0.70099999999999996"/>
    <n v="4.2"/>
    <n v="564"/>
    <n v="1"/>
    <b v="0"/>
    <b v="0"/>
    <b v="0"/>
    <b v="0"/>
    <d v="2026-06-05T00:00:00"/>
    <n v="2368.8000000000002"/>
    <n v="299"/>
    <s v="Under ₹500"/>
    <s v="4.0–4.4"/>
    <x v="3"/>
  </r>
  <r>
    <s v="B0G59967NX"/>
    <x v="127"/>
    <s v="Headphones"/>
    <n v="1149"/>
    <n v="2499"/>
    <n v="0.54"/>
    <n v="4.3"/>
    <n v="389"/>
    <n v="1"/>
    <b v="0"/>
    <b v="0"/>
    <b v="0"/>
    <b v="0"/>
    <d v="2026-06-05T00:00:00"/>
    <n v="1672.6999999999998"/>
    <n v="1149"/>
    <s v="₹1,000–₹5,000"/>
    <s v="4.0–4.4"/>
    <x v="3"/>
  </r>
  <r>
    <s v="B000AJIF4E"/>
    <x v="128"/>
    <s v="Headphones"/>
    <n v="7846"/>
    <n v="9990"/>
    <n v="0.215"/>
    <n v="4.5999999999999996"/>
    <n v="27075"/>
    <n v="1"/>
    <b v="0"/>
    <b v="0"/>
    <b v="0"/>
    <b v="0"/>
    <d v="2026-06-05T00:00:00"/>
    <n v="124544.99999999999"/>
    <n v="7846"/>
    <s v="₹5,000–₹10,000"/>
    <s v="4.5–5.0"/>
    <x v="2"/>
  </r>
  <r>
    <s v="B0FS1Z5X5Z"/>
    <x v="129"/>
    <s v="Headphones"/>
    <n v="6499"/>
    <n v="6999"/>
    <n v="7.0999999999999994E-2"/>
    <m/>
    <n v="0"/>
    <n v="1"/>
    <b v="0"/>
    <b v="0"/>
    <b v="0"/>
    <b v="0"/>
    <d v="2026-06-05T00:00:00"/>
    <s v=""/>
    <n v="6499"/>
    <s v="₹5,000–₹10,000"/>
    <s v="Not Rated"/>
    <x v="0"/>
  </r>
  <r>
    <s v="B009LJ2BXA"/>
    <x v="130"/>
    <s v="Headphones"/>
    <n v="665"/>
    <n v="889"/>
    <n v="0.252"/>
    <n v="3.5"/>
    <n v="10539"/>
    <n v="1"/>
    <b v="0"/>
    <b v="0"/>
    <b v="0"/>
    <b v="0"/>
    <d v="2026-06-05T00:00:00"/>
    <n v="36886.5"/>
    <n v="665"/>
    <s v="₹500–₹1,000"/>
    <s v="3.0–3.9"/>
    <x v="2"/>
  </r>
  <r>
    <s v="B00K0AMYFO"/>
    <x v="131"/>
    <s v="Headphones"/>
    <n v="1099"/>
    <n v="2190"/>
    <n v="0.498"/>
    <n v="4.0999999999999996"/>
    <n v="1801"/>
    <n v="1"/>
    <b v="0"/>
    <b v="0"/>
    <b v="0"/>
    <b v="0"/>
    <d v="2026-06-05T00:00:00"/>
    <n v="7384.0999999999995"/>
    <n v="1099"/>
    <s v="₹1,000–₹5,000"/>
    <s v="4.0–4.4"/>
    <x v="5"/>
  </r>
  <r>
    <s v="B0GS8X6VX6"/>
    <x v="132"/>
    <s v="Headphones"/>
    <n v="2999"/>
    <n v="9999"/>
    <n v="0.7"/>
    <n v="4.0999999999999996"/>
    <n v="41"/>
    <n v="1"/>
    <b v="0"/>
    <b v="0"/>
    <b v="0"/>
    <b v="0"/>
    <d v="2026-06-05T00:00:00"/>
    <n v="168.1"/>
    <n v="2999"/>
    <s v="₹1,000–₹5,000"/>
    <s v="4.0–4.4"/>
    <x v="3"/>
  </r>
  <r>
    <s v="B0DGJLL7V1"/>
    <x v="133"/>
    <s v="Headphones"/>
    <n v="11700"/>
    <n v="12900"/>
    <n v="9.2999999999999999E-2"/>
    <n v="4.2"/>
    <n v="1135"/>
    <n v="1"/>
    <b v="0"/>
    <b v="0"/>
    <b v="0"/>
    <b v="0"/>
    <d v="2026-06-05T00:00:00"/>
    <n v="4767"/>
    <n v="11700"/>
    <s v="Above ₹10,000"/>
    <s v="4.0–4.4"/>
    <x v="0"/>
  </r>
  <r>
    <s v="B0CHMMVHQL"/>
    <x v="134"/>
    <s v="Headphones"/>
    <n v="8999"/>
    <n v="14999"/>
    <n v="0.4"/>
    <n v="4.0999999999999996"/>
    <n v="693"/>
    <n v="1"/>
    <b v="0"/>
    <b v="0"/>
    <b v="0"/>
    <b v="0"/>
    <d v="2026-06-05T00:00:00"/>
    <n v="2841.2999999999997"/>
    <n v="8999"/>
    <s v="₹5,000–₹10,000"/>
    <s v="4.0–4.4"/>
    <x v="5"/>
  </r>
  <r>
    <s v="B0D573NP19"/>
    <x v="135"/>
    <s v="Headphones"/>
    <n v="1399"/>
    <n v="7999"/>
    <n v="0.82499999999999996"/>
    <n v="3.8"/>
    <n v="16702"/>
    <n v="1"/>
    <b v="0"/>
    <b v="0"/>
    <b v="0"/>
    <b v="0"/>
    <d v="2026-06-05T00:00:00"/>
    <n v="63467.6"/>
    <n v="1399"/>
    <s v="₹1,000–₹5,000"/>
    <s v="3.0–3.9"/>
    <x v="3"/>
  </r>
  <r>
    <s v="B0F29P775Z"/>
    <x v="136"/>
    <s v="Headphones"/>
    <n v="249"/>
    <n v="499"/>
    <n v="0.501"/>
    <n v="4.2"/>
    <n v="1297"/>
    <n v="1"/>
    <b v="0"/>
    <b v="0"/>
    <b v="0"/>
    <b v="0"/>
    <d v="2026-06-05T00:00:00"/>
    <n v="5447.4000000000005"/>
    <n v="249"/>
    <s v="Under ₹500"/>
    <s v="4.0–4.4"/>
    <x v="3"/>
  </r>
  <r>
    <s v="B0FBRGKXHG"/>
    <x v="137"/>
    <s v="Headphones"/>
    <n v="1699"/>
    <n v="1999"/>
    <n v="0.15"/>
    <n v="4.2"/>
    <n v="231223"/>
    <n v="1"/>
    <b v="0"/>
    <b v="0"/>
    <b v="0"/>
    <b v="0"/>
    <d v="2026-06-05T00:00:00"/>
    <n v="971136.60000000009"/>
    <n v="1699"/>
    <s v="₹1,000–₹5,000"/>
    <s v="4.0–4.4"/>
    <x v="4"/>
  </r>
  <r>
    <s v="B0FZC523RD"/>
    <x v="138"/>
    <s v="Headphones"/>
    <n v="497"/>
    <n v="1799"/>
    <n v="0.72399999999999998"/>
    <n v="3.6"/>
    <n v="1196"/>
    <n v="1"/>
    <b v="0"/>
    <b v="0"/>
    <b v="0"/>
    <b v="0"/>
    <d v="2026-06-05T00:00:00"/>
    <n v="4305.6000000000004"/>
    <n v="497"/>
    <s v="Under ₹500"/>
    <s v="3.0–3.9"/>
    <x v="3"/>
  </r>
  <r>
    <s v="B0BZHT8T7T"/>
    <x v="139"/>
    <s v="Headphones"/>
    <n v="2799"/>
    <n v="7990"/>
    <n v="0.65"/>
    <n v="3.5"/>
    <n v="2518"/>
    <n v="1"/>
    <b v="0"/>
    <b v="0"/>
    <b v="0"/>
    <b v="0"/>
    <d v="2026-06-05T00:00:00"/>
    <n v="8813"/>
    <n v="2799"/>
    <s v="₹1,000–₹5,000"/>
    <s v="3.0–3.9"/>
    <x v="3"/>
  </r>
  <r>
    <s v="B0F9PJJLCT"/>
    <x v="140"/>
    <s v="Headphones"/>
    <n v="2999"/>
    <n v="4999"/>
    <n v="0.4"/>
    <m/>
    <n v="0"/>
    <n v="1"/>
    <b v="0"/>
    <b v="0"/>
    <b v="0"/>
    <b v="0"/>
    <d v="2026-06-05T00:00:00"/>
    <s v=""/>
    <n v="2999"/>
    <s v="₹1,000–₹5,000"/>
    <s v="Not Rated"/>
    <x v="5"/>
  </r>
  <r>
    <s v="B0BSGXWTGP"/>
    <x v="141"/>
    <s v="Smartwatch"/>
    <n v="396"/>
    <n v="2999"/>
    <n v="0.86799999999999999"/>
    <n v="3.4"/>
    <n v="4138"/>
    <n v="1"/>
    <b v="0"/>
    <b v="0"/>
    <b v="0"/>
    <b v="0"/>
    <d v="2026-06-05T00:00:00"/>
    <n v="14069.199999999999"/>
    <n v="396"/>
    <s v="Under ₹500"/>
    <s v="3.0–3.9"/>
    <x v="3"/>
  </r>
  <r>
    <s v="B0D9629NJQ"/>
    <x v="142"/>
    <s v="Smartwatch"/>
    <n v="1299"/>
    <n v="2799"/>
    <n v="0.53600000000000003"/>
    <n v="4"/>
    <n v="4014"/>
    <n v="1"/>
    <b v="0"/>
    <b v="0"/>
    <b v="1"/>
    <b v="0"/>
    <d v="2026-06-05T00:00:00"/>
    <n v="16056"/>
    <n v="1299"/>
    <s v="₹1,000–₹5,000"/>
    <s v="4.0–4.4"/>
    <x v="3"/>
  </r>
  <r>
    <s v="B0D45BT2S2"/>
    <x v="143"/>
    <s v="Smartwatch"/>
    <n v="396"/>
    <n v="2999"/>
    <n v="0.86799999999999999"/>
    <n v="3.6"/>
    <n v="539"/>
    <n v="1"/>
    <b v="0"/>
    <b v="0"/>
    <b v="0"/>
    <b v="0"/>
    <d v="2026-06-05T00:00:00"/>
    <n v="1940.4"/>
    <n v="396"/>
    <s v="Under ₹500"/>
    <s v="3.0–3.9"/>
    <x v="3"/>
  </r>
  <r>
    <s v="B0DY7YPBJL"/>
    <x v="144"/>
    <s v="Smartwatch"/>
    <n v="1099"/>
    <n v="11999"/>
    <n v="0.90800000000000003"/>
    <n v="3.7"/>
    <n v="6827"/>
    <n v="1"/>
    <b v="0"/>
    <b v="0"/>
    <b v="0"/>
    <b v="0"/>
    <d v="2026-06-05T00:00:00"/>
    <n v="25259.9"/>
    <n v="1099"/>
    <s v="₹1,000–₹5,000"/>
    <s v="3.0–3.9"/>
    <x v="3"/>
  </r>
  <r>
    <s v="B0G61HJYR3"/>
    <x v="145"/>
    <s v="Smartwatch"/>
    <n v="1099"/>
    <n v="9999"/>
    <n v="0.89"/>
    <n v="4.0999999999999996"/>
    <n v="18663"/>
    <n v="1"/>
    <b v="0"/>
    <b v="0"/>
    <b v="0"/>
    <b v="0"/>
    <d v="2026-06-05T00:00:00"/>
    <n v="76518.299999999988"/>
    <n v="1099"/>
    <s v="₹1,000–₹5,000"/>
    <s v="4.0–4.4"/>
    <x v="3"/>
  </r>
  <r>
    <s v="B0CQ4KTCH1"/>
    <x v="146"/>
    <s v="Smartwatch"/>
    <n v="1599"/>
    <n v="4999"/>
    <n v="0.68"/>
    <n v="4"/>
    <n v="54869"/>
    <n v="1"/>
    <b v="0"/>
    <b v="0"/>
    <b v="0"/>
    <b v="0"/>
    <d v="2026-06-05T00:00:00"/>
    <n v="219476"/>
    <n v="1599"/>
    <s v="₹1,000–₹5,000"/>
    <s v="4.0–4.4"/>
    <x v="3"/>
  </r>
  <r>
    <s v="B0FLF38P8G"/>
    <x v="147"/>
    <s v="Smartwatch"/>
    <n v="1399"/>
    <n v="6999"/>
    <n v="0.8"/>
    <n v="4.0999999999999996"/>
    <n v="25992"/>
    <n v="1"/>
    <b v="0"/>
    <b v="0"/>
    <b v="0"/>
    <b v="0"/>
    <d v="2026-06-05T00:00:00"/>
    <n v="106567.2"/>
    <n v="1399"/>
    <s v="₹1,000–₹5,000"/>
    <s v="4.0–4.4"/>
    <x v="3"/>
  </r>
  <r>
    <s v="B0B854R7NS"/>
    <x v="148"/>
    <s v="Smartwatch"/>
    <n v="1399"/>
    <n v="17999"/>
    <n v="0.92200000000000004"/>
    <n v="3.9"/>
    <n v="131228"/>
    <n v="1"/>
    <b v="0"/>
    <b v="0"/>
    <b v="0"/>
    <b v="0"/>
    <d v="2026-06-05T00:00:00"/>
    <n v="511789.2"/>
    <n v="1399"/>
    <s v="₹1,000–₹5,000"/>
    <s v="3.0–3.9"/>
    <x v="3"/>
  </r>
  <r>
    <s v="B0D963J6GN"/>
    <x v="149"/>
    <s v="Smartwatch"/>
    <n v="1299"/>
    <n v="2799"/>
    <n v="0.53600000000000003"/>
    <n v="4"/>
    <n v="419"/>
    <n v="1"/>
    <b v="0"/>
    <b v="0"/>
    <b v="0"/>
    <b v="0"/>
    <d v="2026-06-05T00:00:00"/>
    <n v="1676"/>
    <n v="1299"/>
    <s v="₹1,000–₹5,000"/>
    <s v="4.0–4.4"/>
    <x v="3"/>
  </r>
  <r>
    <s v="B0B6BPTFT5"/>
    <x v="150"/>
    <s v="Smartwatch"/>
    <n v="1499"/>
    <n v="5999"/>
    <n v="0.75"/>
    <n v="4"/>
    <n v="25468"/>
    <n v="1"/>
    <b v="0"/>
    <b v="0"/>
    <b v="0"/>
    <b v="0"/>
    <d v="2026-06-05T00:00:00"/>
    <n v="101872"/>
    <n v="1499"/>
    <s v="₹1,000–₹5,000"/>
    <s v="4.0–4.4"/>
    <x v="3"/>
  </r>
  <r>
    <s v="B0F2Z2TRK9"/>
    <x v="151"/>
    <s v="Smartwatch"/>
    <n v="1299"/>
    <n v="11999"/>
    <n v="0.89200000000000002"/>
    <n v="4"/>
    <n v="61557"/>
    <n v="1"/>
    <b v="0"/>
    <b v="0"/>
    <b v="0"/>
    <b v="0"/>
    <d v="2026-06-05T00:00:00"/>
    <n v="246228"/>
    <n v="1299"/>
    <s v="₹1,000–₹5,000"/>
    <s v="4.0–4.4"/>
    <x v="3"/>
  </r>
  <r>
    <s v="B0DFYL4635"/>
    <x v="152"/>
    <s v="Smartwatch"/>
    <n v="1199"/>
    <n v="8499"/>
    <n v="0.85899999999999999"/>
    <n v="3.8"/>
    <n v="5716"/>
    <n v="1"/>
    <b v="0"/>
    <b v="0"/>
    <b v="0"/>
    <b v="0"/>
    <d v="2026-06-05T00:00:00"/>
    <n v="21720.799999999999"/>
    <n v="1199"/>
    <s v="₹1,000–₹5,000"/>
    <s v="3.0–3.9"/>
    <x v="3"/>
  </r>
  <r>
    <s v="B0DS14JKB1"/>
    <x v="153"/>
    <s v="Smartwatch"/>
    <n v="399"/>
    <n v="999"/>
    <n v="0.60099999999999998"/>
    <n v="3"/>
    <n v="1641"/>
    <n v="1"/>
    <b v="0"/>
    <b v="0"/>
    <b v="0"/>
    <b v="0"/>
    <d v="2026-06-05T00:00:00"/>
    <n v="4923"/>
    <n v="399"/>
    <s v="Under ₹500"/>
    <s v="3.0–3.9"/>
    <x v="3"/>
  </r>
  <r>
    <s v="B0GX7VDRDQ"/>
    <x v="154"/>
    <s v="Smartwatch"/>
    <n v="449"/>
    <n v="999"/>
    <n v="0.55100000000000005"/>
    <n v="5"/>
    <n v="2"/>
    <n v="1"/>
    <b v="0"/>
    <b v="0"/>
    <b v="0"/>
    <b v="0"/>
    <d v="2026-06-05T00:00:00"/>
    <n v="10"/>
    <n v="449"/>
    <s v="Under ₹500"/>
    <s v="4.5–5.0"/>
    <x v="3"/>
  </r>
  <r>
    <s v="B0FDQK5KSZ"/>
    <x v="155"/>
    <s v="Smartwatch"/>
    <n v="25499"/>
    <n v="45999"/>
    <n v="0.44600000000000001"/>
    <n v="4.2"/>
    <n v="232"/>
    <n v="1"/>
    <b v="0"/>
    <b v="0"/>
    <b v="0"/>
    <b v="0"/>
    <d v="2026-06-05T00:00:00"/>
    <n v="974.40000000000009"/>
    <n v="25499"/>
    <s v="Above ₹10,000"/>
    <s v="4.0–4.4"/>
    <x v="5"/>
  </r>
  <r>
    <s v="B0CMF25TKG"/>
    <x v="156"/>
    <s v="Smartwatch"/>
    <n v="1199"/>
    <n v="11999"/>
    <n v="0.9"/>
    <n v="4"/>
    <n v="41250"/>
    <n v="1"/>
    <b v="0"/>
    <b v="0"/>
    <b v="0"/>
    <b v="0"/>
    <d v="2026-06-05T00:00:00"/>
    <n v="165000"/>
    <n v="1199"/>
    <s v="₹1,000–₹5,000"/>
    <s v="4.0–4.4"/>
    <x v="3"/>
  </r>
  <r>
    <s v="B0CVQDZWVX"/>
    <x v="157"/>
    <s v="Smartwatch"/>
    <n v="14199"/>
    <n v="27999"/>
    <n v="0.49299999999999999"/>
    <n v="4.4000000000000004"/>
    <n v="776"/>
    <n v="1"/>
    <b v="0"/>
    <b v="0"/>
    <b v="0"/>
    <b v="0"/>
    <d v="2026-06-05T00:00:00"/>
    <n v="3414.4"/>
    <n v="14199"/>
    <s v="Above ₹10,000"/>
    <s v="4.0–4.4"/>
    <x v="5"/>
  </r>
  <r>
    <s v="B0FSLT35WH"/>
    <x v="158"/>
    <s v="Smartwatch"/>
    <n v="2499"/>
    <n v="3999"/>
    <n v="0.375"/>
    <n v="4.0999999999999996"/>
    <n v="157"/>
    <n v="1"/>
    <b v="0"/>
    <b v="0"/>
    <b v="0"/>
    <b v="0"/>
    <d v="2026-06-05T00:00:00"/>
    <n v="643.69999999999993"/>
    <n v="2499"/>
    <s v="₹1,000–₹5,000"/>
    <s v="4.0–4.4"/>
    <x v="5"/>
  </r>
  <r>
    <s v="B0DH2SRQ3L"/>
    <x v="159"/>
    <s v="Smartwatch"/>
    <n v="3999"/>
    <n v="6999"/>
    <n v="0.42899999999999999"/>
    <n v="4.0999999999999996"/>
    <n v="1712"/>
    <n v="1"/>
    <b v="0"/>
    <b v="0"/>
    <b v="0"/>
    <b v="0"/>
    <d v="2026-06-05T00:00:00"/>
    <n v="7019.2"/>
    <n v="3999"/>
    <s v="₹1,000–₹5,000"/>
    <s v="4.0–4.4"/>
    <x v="5"/>
  </r>
  <r>
    <s v="B0DGGVHMDS"/>
    <x v="160"/>
    <s v="Smartwatch"/>
    <n v="2799"/>
    <n v="5499"/>
    <n v="0.49099999999999999"/>
    <n v="4.3"/>
    <n v="1386"/>
    <n v="1"/>
    <b v="0"/>
    <b v="0"/>
    <b v="0"/>
    <b v="0"/>
    <d v="2026-06-05T00:00:00"/>
    <n v="5959.8"/>
    <n v="2799"/>
    <s v="₹1,000–₹5,000"/>
    <s v="4.0–4.4"/>
    <x v="5"/>
  </r>
  <r>
    <s v="B0D95TMQ3M"/>
    <x v="161"/>
    <s v="Smartwatch"/>
    <n v="396"/>
    <n v="2999"/>
    <n v="0.86799999999999999"/>
    <n v="3.5"/>
    <n v="1059"/>
    <n v="1"/>
    <b v="0"/>
    <b v="0"/>
    <b v="0"/>
    <b v="0"/>
    <d v="2026-06-05T00:00:00"/>
    <n v="3706.5"/>
    <n v="396"/>
    <s v="Under ₹500"/>
    <s v="3.0–3.9"/>
    <x v="3"/>
  </r>
  <r>
    <s v="B0G64PBQYB"/>
    <x v="162"/>
    <s v="Smartwatch"/>
    <n v="5999"/>
    <n v="9999"/>
    <n v="0.4"/>
    <n v="4.4000000000000004"/>
    <n v="382"/>
    <n v="1"/>
    <b v="0"/>
    <b v="0"/>
    <b v="0"/>
    <b v="0"/>
    <d v="2026-06-05T00:00:00"/>
    <n v="1680.8000000000002"/>
    <n v="5999"/>
    <s v="₹5,000–₹10,000"/>
    <s v="4.0–4.4"/>
    <x v="5"/>
  </r>
  <r>
    <s v="B0G1T2GZP9"/>
    <x v="163"/>
    <s v="Smartwatch"/>
    <n v="1399"/>
    <n v="6999"/>
    <n v="0.8"/>
    <n v="4"/>
    <n v="21378"/>
    <n v="1"/>
    <b v="0"/>
    <b v="0"/>
    <b v="0"/>
    <b v="0"/>
    <d v="2026-06-05T00:00:00"/>
    <n v="85512"/>
    <n v="1399"/>
    <s v="₹1,000–₹5,000"/>
    <s v="4.0–4.4"/>
    <x v="3"/>
  </r>
  <r>
    <s v="B0CQRQK8L8"/>
    <x v="164"/>
    <s v="Smartwatch"/>
    <n v="1199"/>
    <n v="6999"/>
    <n v="0.82899999999999996"/>
    <n v="4"/>
    <n v="5456"/>
    <n v="1"/>
    <b v="0"/>
    <b v="0"/>
    <b v="0"/>
    <b v="0"/>
    <d v="2026-06-05T00:00:00"/>
    <n v="21824"/>
    <n v="1199"/>
    <s v="₹1,000–₹5,000"/>
    <s v="4.0–4.4"/>
    <x v="3"/>
  </r>
  <r>
    <s v="B0GRVG7C8D"/>
    <x v="165"/>
    <s v="Smartwatch"/>
    <m/>
    <m/>
    <m/>
    <n v="3.8"/>
    <n v="7"/>
    <n v="1"/>
    <b v="0"/>
    <b v="0"/>
    <b v="0"/>
    <b v="0"/>
    <d v="2026-06-05T00:00:00"/>
    <n v="26.599999999999998"/>
    <m/>
    <s v=" "/>
    <s v="3.0–3.9"/>
    <x v="1"/>
  </r>
  <r>
    <s v="B0F993RN8H"/>
    <x v="166"/>
    <s v="Smartwatch"/>
    <n v="2099"/>
    <n v="21000"/>
    <n v="0.9"/>
    <n v="3.9"/>
    <n v="2395"/>
    <n v="1"/>
    <b v="0"/>
    <b v="0"/>
    <b v="0"/>
    <b v="0"/>
    <d v="2026-06-05T00:00:00"/>
    <n v="9340.5"/>
    <n v="2099"/>
    <s v="₹1,000–₹5,000"/>
    <s v="3.0–3.9"/>
    <x v="3"/>
  </r>
  <r>
    <s v="B0D1VKS2L9"/>
    <x v="167"/>
    <s v="Smartwatch"/>
    <n v="1599"/>
    <n v="2995"/>
    <n v="0.46600000000000003"/>
    <n v="4"/>
    <n v="2493"/>
    <n v="1"/>
    <b v="0"/>
    <b v="0"/>
    <b v="0"/>
    <b v="0"/>
    <d v="2026-06-05T00:00:00"/>
    <n v="9972"/>
    <n v="1599"/>
    <s v="₹1,000–₹5,000"/>
    <s v="4.0–4.4"/>
    <x v="5"/>
  </r>
  <r>
    <s v="B0D5LRGSCR"/>
    <x v="168"/>
    <s v="Smartwatch"/>
    <n v="1099"/>
    <n v="8449"/>
    <n v="0.87"/>
    <n v="4.0999999999999996"/>
    <n v="34928"/>
    <n v="1"/>
    <b v="0"/>
    <b v="0"/>
    <b v="0"/>
    <b v="0"/>
    <d v="2026-06-05T00:00:00"/>
    <n v="143204.79999999999"/>
    <n v="1099"/>
    <s v="₹1,000–₹5,000"/>
    <s v="4.0–4.4"/>
    <x v="3"/>
  </r>
  <r>
    <s v="B0FP2H4K27"/>
    <x v="169"/>
    <s v="Smartwatch"/>
    <n v="1899"/>
    <n v="18999"/>
    <n v="0.9"/>
    <n v="3.8"/>
    <n v="6885"/>
    <n v="1"/>
    <b v="0"/>
    <b v="0"/>
    <b v="0"/>
    <b v="0"/>
    <d v="2026-06-05T00:00:00"/>
    <n v="26163"/>
    <n v="1899"/>
    <s v="₹1,000–₹5,000"/>
    <s v="3.0–3.9"/>
    <x v="3"/>
  </r>
  <r>
    <s v="B0BRKXXPZ7"/>
    <x v="170"/>
    <s v="Smartwatch"/>
    <n v="1499"/>
    <n v="11999"/>
    <n v="0.875"/>
    <n v="3.9"/>
    <n v="105437"/>
    <n v="1"/>
    <b v="0"/>
    <b v="0"/>
    <b v="0"/>
    <b v="0"/>
    <d v="2026-06-05T00:00:00"/>
    <n v="411204.3"/>
    <n v="1499"/>
    <s v="₹1,000–₹5,000"/>
    <s v="3.0–3.9"/>
    <x v="3"/>
  </r>
  <r>
    <s v="B0DSWCCSXD"/>
    <x v="171"/>
    <s v="Smartwatch"/>
    <n v="939"/>
    <n v="4999"/>
    <n v="0.81200000000000006"/>
    <n v="4"/>
    <n v="146"/>
    <n v="1"/>
    <b v="0"/>
    <b v="0"/>
    <b v="0"/>
    <b v="0"/>
    <d v="2026-06-05T00:00:00"/>
    <n v="584"/>
    <n v="939"/>
    <s v="₹500–₹1,000"/>
    <s v="4.0–4.4"/>
    <x v="3"/>
  </r>
  <r>
    <s v="B0DNW6WRDZ"/>
    <x v="172"/>
    <s v="Smartwatch"/>
    <n v="399"/>
    <n v="999"/>
    <n v="0.60099999999999998"/>
    <n v="3.2"/>
    <n v="335"/>
    <n v="1"/>
    <b v="0"/>
    <b v="0"/>
    <b v="0"/>
    <b v="0"/>
    <d v="2026-06-05T00:00:00"/>
    <n v="1072"/>
    <n v="399"/>
    <s v="Under ₹500"/>
    <s v="3.0–3.9"/>
    <x v="3"/>
  </r>
  <r>
    <s v="B0DDL8SLXN"/>
    <x v="173"/>
    <s v="Smartwatch"/>
    <n v="14999"/>
    <n v="24999"/>
    <n v="0.4"/>
    <n v="4.5"/>
    <n v="1171"/>
    <n v="1"/>
    <b v="0"/>
    <b v="0"/>
    <b v="0"/>
    <b v="0"/>
    <d v="2026-06-05T00:00:00"/>
    <n v="5269.5"/>
    <n v="14999"/>
    <s v="Above ₹10,000"/>
    <s v="4.5–5.0"/>
    <x v="5"/>
  </r>
  <r>
    <s v="B0DDQCDQQG"/>
    <x v="174"/>
    <s v="Smartwatch"/>
    <n v="1699"/>
    <n v="3999"/>
    <n v="0.57499999999999996"/>
    <n v="4.0999999999999996"/>
    <n v="210"/>
    <n v="1"/>
    <b v="0"/>
    <b v="0"/>
    <b v="0"/>
    <b v="0"/>
    <d v="2026-06-05T00:00:00"/>
    <n v="860.99999999999989"/>
    <n v="1699"/>
    <s v="₹1,000–₹5,000"/>
    <s v="4.0–4.4"/>
    <x v="3"/>
  </r>
  <r>
    <s v="B0DKBZYXZY"/>
    <x v="175"/>
    <s v="Smartwatch"/>
    <n v="1099"/>
    <n v="16999"/>
    <n v="0.93500000000000005"/>
    <n v="3.4"/>
    <n v="924"/>
    <n v="1"/>
    <b v="0"/>
    <b v="0"/>
    <b v="0"/>
    <b v="0"/>
    <d v="2026-06-05T00:00:00"/>
    <n v="3141.6"/>
    <n v="1099"/>
    <s v="₹1,000–₹5,000"/>
    <s v="3.0–3.9"/>
    <x v="3"/>
  </r>
  <r>
    <s v="B0BY5BRLRB"/>
    <x v="176"/>
    <s v="Smartwatch"/>
    <n v="39990"/>
    <n v="70990"/>
    <n v="0.437"/>
    <n v="4.0999999999999996"/>
    <n v="69"/>
    <n v="1"/>
    <b v="0"/>
    <b v="0"/>
    <b v="0"/>
    <b v="0"/>
    <d v="2026-06-05T00:00:00"/>
    <n v="282.89999999999998"/>
    <n v="39990"/>
    <s v="Above ₹10,000"/>
    <s v="4.0–4.4"/>
    <x v="5"/>
  </r>
  <r>
    <s v="B0GLQKTKF6"/>
    <x v="177"/>
    <s v="Smartwatch"/>
    <n v="4499"/>
    <n v="14999"/>
    <n v="0.7"/>
    <n v="4.5999999999999996"/>
    <n v="71"/>
    <n v="1"/>
    <b v="0"/>
    <b v="0"/>
    <b v="0"/>
    <b v="0"/>
    <d v="2026-06-05T00:00:00"/>
    <n v="326.59999999999997"/>
    <n v="4499"/>
    <s v="₹1,000–₹5,000"/>
    <s v="4.5–5.0"/>
    <x v="3"/>
  </r>
  <r>
    <s v="B0GPDV4GGT"/>
    <x v="178"/>
    <s v="Smartwatch"/>
    <n v="2999"/>
    <n v="6499"/>
    <n v="0.53900000000000003"/>
    <n v="1"/>
    <n v="1"/>
    <n v="1"/>
    <b v="0"/>
    <b v="0"/>
    <b v="0"/>
    <b v="0"/>
    <d v="2026-06-05T00:00:00"/>
    <n v="1"/>
    <n v="2999"/>
    <s v="₹1,000–₹5,000"/>
    <s v="Below 2.0"/>
    <x v="3"/>
  </r>
  <r>
    <s v="B0GH7QLM56"/>
    <x v="179"/>
    <s v="Smartwatch"/>
    <n v="1299"/>
    <n v="14999"/>
    <n v="0.91300000000000003"/>
    <n v="4"/>
    <n v="1890"/>
    <n v="1"/>
    <b v="0"/>
    <b v="0"/>
    <b v="0"/>
    <b v="0"/>
    <d v="2026-06-05T00:00:00"/>
    <n v="7560"/>
    <n v="1299"/>
    <s v="₹1,000–₹5,000"/>
    <s v="4.0–4.4"/>
    <x v="3"/>
  </r>
  <r>
    <s v="B0CLRCTC58"/>
    <x v="180"/>
    <s v="Smartwatch"/>
    <n v="4499"/>
    <n v="11995"/>
    <n v="0.625"/>
    <n v="4"/>
    <n v="815"/>
    <n v="1"/>
    <b v="0"/>
    <b v="0"/>
    <b v="0"/>
    <b v="0"/>
    <d v="2026-06-05T00:00:00"/>
    <n v="3260"/>
    <n v="4499"/>
    <s v="₹1,000–₹5,000"/>
    <s v="4.0–4.4"/>
    <x v="3"/>
  </r>
  <r>
    <s v="B0F5HRC4QC"/>
    <x v="181"/>
    <s v="Smartwatch"/>
    <n v="2299"/>
    <n v="7995"/>
    <n v="0.71199999999999997"/>
    <n v="4"/>
    <n v="1844"/>
    <n v="1"/>
    <b v="0"/>
    <b v="0"/>
    <b v="0"/>
    <b v="0"/>
    <d v="2026-06-05T00:00:00"/>
    <n v="7376"/>
    <n v="2299"/>
    <s v="₹1,000–₹5,000"/>
    <s v="4.0–4.4"/>
    <x v="3"/>
  </r>
  <r>
    <s v="B09HVCFLG4"/>
    <x v="182"/>
    <s v="Smartwatch"/>
    <n v="9999"/>
    <n v="25999"/>
    <n v="0.61499999999999999"/>
    <n v="3.9"/>
    <n v="1613"/>
    <n v="1"/>
    <b v="0"/>
    <b v="0"/>
    <b v="0"/>
    <b v="1"/>
    <d v="2026-06-05T00:00:00"/>
    <n v="6290.7"/>
    <n v="9999"/>
    <s v="₹5,000–₹10,000"/>
    <s v="3.0–3.9"/>
    <x v="3"/>
  </r>
  <r>
    <s v="B0DZ2PDXLS"/>
    <x v="183"/>
    <s v="Smartwatch"/>
    <n v="1199"/>
    <n v="5999"/>
    <n v="0.8"/>
    <n v="3.8"/>
    <n v="896"/>
    <n v="1"/>
    <b v="0"/>
    <b v="0"/>
    <b v="0"/>
    <b v="0"/>
    <d v="2026-06-05T00:00:00"/>
    <n v="3404.7999999999997"/>
    <n v="1199"/>
    <s v="₹1,000–₹5,000"/>
    <s v="3.0–3.9"/>
    <x v="3"/>
  </r>
  <r>
    <s v="B0CBXBY5CK"/>
    <x v="184"/>
    <s v="Smartwatch"/>
    <n v="1349"/>
    <n v="4999"/>
    <n v="0.73"/>
    <n v="3.1"/>
    <n v="1445"/>
    <n v="1"/>
    <b v="0"/>
    <b v="0"/>
    <b v="0"/>
    <b v="0"/>
    <d v="2026-06-05T00:00:00"/>
    <n v="4479.5"/>
    <n v="1349"/>
    <s v="₹1,000–₹5,000"/>
    <s v="3.0–3.9"/>
    <x v="3"/>
  </r>
  <r>
    <s v="B0DCZWZ39H"/>
    <x v="185"/>
    <s v="Smartwatch"/>
    <n v="2690"/>
    <n v="4999"/>
    <n v="0.46200000000000002"/>
    <n v="4.0999999999999996"/>
    <n v="1158"/>
    <n v="1"/>
    <b v="0"/>
    <b v="0"/>
    <b v="0"/>
    <b v="0"/>
    <d v="2026-06-05T00:00:00"/>
    <n v="4747.7999999999993"/>
    <n v="2690"/>
    <s v="₹1,000–₹5,000"/>
    <s v="4.0–4.4"/>
    <x v="5"/>
  </r>
  <r>
    <s v="B0FC6CGZTP"/>
    <x v="186"/>
    <s v="Smartwatch"/>
    <n v="6499"/>
    <n v="7999"/>
    <n v="0.188"/>
    <n v="4.0999999999999996"/>
    <n v="491"/>
    <n v="1"/>
    <b v="0"/>
    <b v="0"/>
    <b v="0"/>
    <b v="0"/>
    <d v="2026-06-05T00:00:00"/>
    <n v="2013.1"/>
    <n v="6499"/>
    <s v="₹5,000–₹10,000"/>
    <s v="4.0–4.4"/>
    <x v="4"/>
  </r>
  <r>
    <s v="B0DFYMY37Y"/>
    <x v="187"/>
    <s v="Smartwatch"/>
    <n v="4999"/>
    <n v="6999"/>
    <n v="0.28599999999999998"/>
    <n v="4.2"/>
    <n v="87"/>
    <n v="1"/>
    <b v="0"/>
    <b v="0"/>
    <b v="0"/>
    <b v="0"/>
    <d v="2026-06-05T00:00:00"/>
    <n v="365.40000000000003"/>
    <n v="4999"/>
    <s v="₹1,000–₹5,000"/>
    <s v="4.0–4.4"/>
    <x v="2"/>
  </r>
  <r>
    <s v="B0F4RH8CHC"/>
    <x v="188"/>
    <s v="Smartwatch"/>
    <n v="1699"/>
    <n v="6999"/>
    <n v="0.75700000000000001"/>
    <n v="4"/>
    <n v="13"/>
    <n v="1"/>
    <b v="0"/>
    <b v="0"/>
    <b v="0"/>
    <b v="0"/>
    <d v="2026-06-05T00:00:00"/>
    <n v="52"/>
    <n v="1699"/>
    <s v="₹1,000–₹5,000"/>
    <s v="4.0–4.4"/>
    <x v="3"/>
  </r>
  <r>
    <s v="B0FHWWDRRM"/>
    <x v="189"/>
    <s v="Tablet"/>
    <n v="18499"/>
    <n v="19999"/>
    <n v="7.4999999999999997E-2"/>
    <n v="4.4000000000000004"/>
    <n v="749"/>
    <n v="3"/>
    <b v="0"/>
    <b v="0"/>
    <b v="1"/>
    <b v="0"/>
    <d v="2026-06-05T00:00:00"/>
    <n v="3295.6000000000004"/>
    <n v="18499"/>
    <s v="Above ₹10,000"/>
    <s v="4.0–4.4"/>
    <x v="0"/>
  </r>
  <r>
    <s v="B0FBRVRF4F"/>
    <x v="190"/>
    <s v="Tablet"/>
    <n v="19999"/>
    <m/>
    <m/>
    <n v="4.3"/>
    <n v="669"/>
    <n v="2"/>
    <b v="0"/>
    <b v="0"/>
    <b v="0"/>
    <b v="0"/>
    <d v="2026-06-05T00:00:00"/>
    <n v="2876.7"/>
    <n v="19999"/>
    <s v="Above ₹10,000"/>
    <s v="4.0–4.4"/>
    <x v="1"/>
  </r>
  <r>
    <s v="B0GWMMPJ42"/>
    <x v="191"/>
    <s v="Tablet"/>
    <n v="7550"/>
    <n v="24990"/>
    <n v="0.69799999999999995"/>
    <n v="3.6"/>
    <n v="5"/>
    <n v="1"/>
    <b v="0"/>
    <b v="0"/>
    <b v="0"/>
    <b v="0"/>
    <d v="2026-06-05T00:00:00"/>
    <n v="18"/>
    <n v="7550"/>
    <s v="₹5,000–₹10,000"/>
    <s v="3.0–3.9"/>
    <x v="3"/>
  </r>
  <r>
    <s v="B0G24QRHLG"/>
    <x v="192"/>
    <s v="Tablet"/>
    <n v="14999"/>
    <n v="19000"/>
    <n v="0.21099999999999999"/>
    <n v="4.3"/>
    <n v="521"/>
    <n v="1"/>
    <b v="0"/>
    <b v="0"/>
    <b v="0"/>
    <b v="0"/>
    <d v="2026-06-05T00:00:00"/>
    <n v="2240.2999999999997"/>
    <n v="14999"/>
    <s v="Above ₹10,000"/>
    <s v="4.0–4.4"/>
    <x v="2"/>
  </r>
  <r>
    <s v="B0GQSH6FBT"/>
    <x v="193"/>
    <s v="Tablet"/>
    <n v="19843"/>
    <n v="24999"/>
    <n v="0.20599999999999999"/>
    <n v="3.8"/>
    <n v="31"/>
    <n v="2"/>
    <b v="0"/>
    <b v="0"/>
    <b v="0"/>
    <b v="0"/>
    <d v="2026-06-05T00:00:00"/>
    <n v="117.8"/>
    <n v="19843"/>
    <s v="Above ₹10,000"/>
    <s v="3.0–3.9"/>
    <x v="2"/>
  </r>
  <r>
    <s v="B0CDLBNZQH"/>
    <x v="194"/>
    <s v="Tablet"/>
    <n v="11457"/>
    <m/>
    <m/>
    <n v="3.8"/>
    <n v="204"/>
    <n v="11"/>
    <b v="0"/>
    <b v="0"/>
    <b v="0"/>
    <b v="0"/>
    <d v="2026-06-05T00:00:00"/>
    <n v="775.19999999999993"/>
    <n v="11457"/>
    <s v="Above ₹10,000"/>
    <s v="3.0–3.9"/>
    <x v="1"/>
  </r>
  <r>
    <s v="B092DXT698"/>
    <x v="195"/>
    <s v="Tablet"/>
    <n v="11999"/>
    <n v="21999"/>
    <n v="0.45500000000000002"/>
    <n v="4"/>
    <n v="2028"/>
    <n v="1"/>
    <b v="0"/>
    <b v="0"/>
    <b v="0"/>
    <b v="0"/>
    <d v="2026-06-05T00:00:00"/>
    <n v="8112"/>
    <n v="11999"/>
    <s v="Above ₹10,000"/>
    <s v="4.0–4.4"/>
    <x v="5"/>
  </r>
  <r>
    <s v="B0CGWTH8YH"/>
    <x v="196"/>
    <s v="Tablet"/>
    <n v="10683.5"/>
    <n v="41646.15"/>
    <n v="0.74299999999999999"/>
    <n v="4.3"/>
    <n v="970"/>
    <n v="10"/>
    <b v="0"/>
    <b v="0"/>
    <b v="0"/>
    <b v="0"/>
    <d v="2026-06-05T00:00:00"/>
    <n v="4171"/>
    <n v="10683.5"/>
    <s v="Above ₹10,000"/>
    <s v="4.0–4.4"/>
    <x v="3"/>
  </r>
  <r>
    <s v="B0G4QQ4FYB"/>
    <x v="197"/>
    <s v="Tablet"/>
    <n v="34999"/>
    <n v="35999"/>
    <n v="2.8000000000000001E-2"/>
    <n v="4.0999999999999996"/>
    <n v="654"/>
    <n v="1"/>
    <b v="0"/>
    <b v="0"/>
    <b v="0"/>
    <b v="0"/>
    <d v="2026-06-05T00:00:00"/>
    <n v="2681.3999999999996"/>
    <n v="34999"/>
    <s v="Above ₹10,000"/>
    <s v="4.0–4.4"/>
    <x v="0"/>
  </r>
  <r>
    <s v="B0FNWSP5L3"/>
    <x v="198"/>
    <s v="Tablet"/>
    <n v="36999"/>
    <n v="41999"/>
    <n v="0.11899999999999999"/>
    <n v="4.5"/>
    <n v="175"/>
    <n v="1"/>
    <b v="0"/>
    <b v="0"/>
    <b v="0"/>
    <b v="0"/>
    <d v="2026-06-05T00:00:00"/>
    <n v="787.5"/>
    <n v="36999"/>
    <s v="Above ₹10,000"/>
    <s v="4.5–5.0"/>
    <x v="4"/>
  </r>
  <r>
    <s v="B0F4K27HBJ"/>
    <x v="199"/>
    <s v="Tablet"/>
    <n v="3999"/>
    <n v="5999"/>
    <n v="0.33300000000000002"/>
    <n v="1.9"/>
    <n v="40"/>
    <n v="1"/>
    <b v="0"/>
    <b v="0"/>
    <b v="0"/>
    <b v="0"/>
    <d v="2026-06-05T00:00:00"/>
    <n v="76"/>
    <n v="3999"/>
    <s v="₹1,000–₹5,000"/>
    <s v="Below 2.0"/>
    <x v="5"/>
  </r>
  <r>
    <s v="B0DP5215CG"/>
    <x v="200"/>
    <s v="Tablet"/>
    <n v="3999"/>
    <n v="5999"/>
    <n v="0.33300000000000002"/>
    <n v="2.7"/>
    <n v="29"/>
    <n v="1"/>
    <b v="0"/>
    <b v="0"/>
    <b v="0"/>
    <b v="0"/>
    <d v="2026-06-05T00:00:00"/>
    <n v="78.300000000000011"/>
    <n v="3999"/>
    <s v="₹1,000–₹5,000"/>
    <s v="2.0–2.9"/>
    <x v="5"/>
  </r>
  <r>
    <s v="B0GZH4QV3T"/>
    <x v="201"/>
    <s v="Tablet"/>
    <n v="3949"/>
    <n v="5999"/>
    <n v="0.34200000000000003"/>
    <n v="1"/>
    <n v="1"/>
    <n v="1"/>
    <b v="0"/>
    <b v="0"/>
    <b v="0"/>
    <b v="0"/>
    <d v="2026-06-05T00:00:00"/>
    <n v="1"/>
    <n v="3949"/>
    <s v="₹1,000–₹5,000"/>
    <s v="Below 2.0"/>
    <x v="5"/>
  </r>
  <r>
    <s v="B0G1C13SB3"/>
    <x v="202"/>
    <s v="Tablet"/>
    <n v="25999"/>
    <n v="27999"/>
    <n v="7.0999999999999994E-2"/>
    <n v="4.5"/>
    <n v="199"/>
    <n v="1"/>
    <b v="0"/>
    <b v="0"/>
    <b v="0"/>
    <b v="0"/>
    <d v="2026-06-05T00:00:00"/>
    <n v="895.5"/>
    <n v="25999"/>
    <s v="Above ₹10,000"/>
    <s v="4.5–5.0"/>
    <x v="0"/>
  </r>
  <r>
    <s v="B0GQV514CT"/>
    <x v="203"/>
    <s v="Tablet"/>
    <n v="61699"/>
    <n v="64900"/>
    <n v="4.9000000000000002E-2"/>
    <n v="4.7"/>
    <n v="39"/>
    <n v="1"/>
    <b v="0"/>
    <b v="0"/>
    <b v="0"/>
    <b v="0"/>
    <d v="2026-06-05T00:00:00"/>
    <n v="183.3"/>
    <n v="61699"/>
    <s v="Above ₹10,000"/>
    <s v="4.5–5.0"/>
    <x v="0"/>
  </r>
  <r>
    <s v="B0G2RVGCGC"/>
    <x v="204"/>
    <s v="Tablet"/>
    <n v="31999"/>
    <n v="41000"/>
    <n v="0.22"/>
    <n v="4.3"/>
    <n v="70"/>
    <n v="1"/>
    <b v="0"/>
    <b v="0"/>
    <b v="0"/>
    <b v="0"/>
    <d v="2026-06-05T00:00:00"/>
    <n v="301"/>
    <n v="31999"/>
    <s v="Above ₹10,000"/>
    <s v="4.0–4.4"/>
    <x v="2"/>
  </r>
  <r>
    <s v="B0CG89T15H"/>
    <x v="205"/>
    <s v="Tablet"/>
    <n v="9635"/>
    <m/>
    <m/>
    <n v="4"/>
    <n v="2500"/>
    <n v="1"/>
    <b v="0"/>
    <b v="0"/>
    <b v="0"/>
    <b v="0"/>
    <d v="2026-06-05T00:00:00"/>
    <n v="10000"/>
    <n v="9635"/>
    <s v="₹5,000–₹10,000"/>
    <s v="4.0–4.4"/>
    <x v="1"/>
  </r>
  <r>
    <s v="B0D6G4CVZ7"/>
    <x v="206"/>
    <s v="Tablet"/>
    <n v="21999"/>
    <n v="32000"/>
    <n v="0.313"/>
    <n v="4.5"/>
    <n v="2070"/>
    <n v="1"/>
    <b v="0"/>
    <b v="0"/>
    <b v="0"/>
    <b v="0"/>
    <d v="2026-06-05T00:00:00"/>
    <n v="9315"/>
    <n v="21999"/>
    <s v="Above ₹10,000"/>
    <s v="4.5–5.0"/>
    <x v="5"/>
  </r>
  <r>
    <s v="B0F4QYKYND"/>
    <x v="207"/>
    <s v="Tablet"/>
    <n v="6162.97"/>
    <m/>
    <m/>
    <n v="3.7"/>
    <n v="805"/>
    <n v="14"/>
    <b v="0"/>
    <b v="0"/>
    <b v="0"/>
    <b v="0"/>
    <d v="2026-06-05T00:00:00"/>
    <n v="2978.5"/>
    <n v="6162.97"/>
    <s v="₹5,000–₹10,000"/>
    <s v="3.0–3.9"/>
    <x v="1"/>
  </r>
  <r>
    <s v="B0FJG2TL3C"/>
    <x v="208"/>
    <s v="Tablet"/>
    <n v="26999"/>
    <n v="29000"/>
    <n v="6.9000000000000006E-2"/>
    <n v="4.3"/>
    <n v="639"/>
    <n v="1"/>
    <b v="0"/>
    <b v="0"/>
    <b v="0"/>
    <b v="0"/>
    <d v="2026-06-05T00:00:00"/>
    <n v="2747.7"/>
    <n v="26999"/>
    <s v="Above ₹10,000"/>
    <s v="4.0–4.4"/>
    <x v="0"/>
  </r>
  <r>
    <s v="B0GDQ26XZB"/>
    <x v="209"/>
    <s v="Tablet"/>
    <n v="26999"/>
    <n v="29999"/>
    <n v="0.1"/>
    <n v="4.2"/>
    <n v="130"/>
    <n v="1"/>
    <b v="0"/>
    <b v="0"/>
    <b v="0"/>
    <b v="0"/>
    <d v="2026-06-05T00:00:00"/>
    <n v="546"/>
    <n v="26999"/>
    <s v="Above ₹10,000"/>
    <s v="4.0–4.4"/>
    <x v="4"/>
  </r>
  <r>
    <s v="B0CTH1JX6P"/>
    <x v="210"/>
    <s v="Tablet"/>
    <n v="9860.76"/>
    <n v="24823"/>
    <n v="0.60299999999999998"/>
    <n v="3.9"/>
    <n v="1288"/>
    <n v="7"/>
    <b v="0"/>
    <b v="0"/>
    <b v="0"/>
    <b v="0"/>
    <d v="2026-06-05T00:00:00"/>
    <n v="5023.2"/>
    <n v="9860.76"/>
    <s v="₹5,000–₹10,000"/>
    <s v="3.0–3.9"/>
    <x v="3"/>
  </r>
  <r>
    <s v="B0GGZNTXC4"/>
    <x v="211"/>
    <s v="Tablet"/>
    <n v="20000"/>
    <n v="25999"/>
    <n v="0.23100000000000001"/>
    <n v="3.6"/>
    <n v="25"/>
    <n v="10"/>
    <b v="0"/>
    <b v="0"/>
    <b v="0"/>
    <b v="0"/>
    <d v="2026-06-05T00:00:00"/>
    <n v="90"/>
    <n v="20000"/>
    <s v="Above ₹10,000"/>
    <s v="3.0–3.9"/>
    <x v="2"/>
  </r>
  <r>
    <s v="B0GWM9X76Q"/>
    <x v="212"/>
    <s v="Tablet"/>
    <n v="7550"/>
    <n v="24990"/>
    <n v="0.69799999999999995"/>
    <n v="5"/>
    <n v="1"/>
    <n v="1"/>
    <b v="0"/>
    <b v="0"/>
    <b v="0"/>
    <b v="0"/>
    <d v="2026-06-05T00:00:00"/>
    <n v="5"/>
    <n v="7550"/>
    <s v="₹5,000–₹10,000"/>
    <s v="4.5–5.0"/>
    <x v="3"/>
  </r>
  <r>
    <s v="B0GWHYQW77"/>
    <x v="213"/>
    <s v="Tablet"/>
    <n v="39999"/>
    <n v="70000"/>
    <n v="0.42899999999999999"/>
    <n v="4.4000000000000004"/>
    <n v="58"/>
    <n v="1"/>
    <b v="0"/>
    <b v="0"/>
    <b v="0"/>
    <b v="0"/>
    <d v="2026-06-05T00:00:00"/>
    <n v="255.20000000000002"/>
    <n v="39999"/>
    <s v="Above ₹10,000"/>
    <s v="4.0–4.4"/>
    <x v="5"/>
  </r>
  <r>
    <s v="B0GP6YWSY2"/>
    <x v="214"/>
    <s v="Tablet"/>
    <n v="39999"/>
    <n v="58000"/>
    <n v="0.31"/>
    <n v="4.3"/>
    <n v="7"/>
    <n v="1"/>
    <b v="0"/>
    <b v="0"/>
    <b v="0"/>
    <b v="0"/>
    <d v="2026-06-05T00:00:00"/>
    <n v="30.099999999999998"/>
    <n v="39999"/>
    <s v="Above ₹10,000"/>
    <s v="4.0–4.4"/>
    <x v="5"/>
  </r>
  <r>
    <s v="B0DW49RMHR"/>
    <x v="215"/>
    <s v="Tablet"/>
    <n v="32999"/>
    <n v="39999"/>
    <n v="0.17499999999999999"/>
    <n v="4.5"/>
    <n v="2102"/>
    <n v="1"/>
    <b v="0"/>
    <b v="0"/>
    <b v="0"/>
    <b v="0"/>
    <d v="2026-06-05T00:00:00"/>
    <n v="9459"/>
    <n v="32999"/>
    <s v="Above ₹10,000"/>
    <s v="4.5–5.0"/>
    <x v="4"/>
  </r>
  <r>
    <s v="B0919NL1HZ"/>
    <x v="216"/>
    <s v="Tablet"/>
    <n v="10999"/>
    <n v="17999"/>
    <n v="0.38900000000000001"/>
    <n v="4.0999999999999996"/>
    <n v="1130"/>
    <n v="1"/>
    <b v="0"/>
    <b v="0"/>
    <b v="0"/>
    <b v="0"/>
    <d v="2026-06-05T00:00:00"/>
    <n v="4633"/>
    <n v="10999"/>
    <s v="Above ₹10,000"/>
    <s v="4.0–4.4"/>
    <x v="5"/>
  </r>
  <r>
    <s v="B0CKLCYJFB"/>
    <x v="217"/>
    <s v="Tablet"/>
    <n v="8349"/>
    <n v="15999"/>
    <n v="0.47799999999999998"/>
    <n v="3.6"/>
    <n v="146"/>
    <n v="1"/>
    <b v="0"/>
    <b v="0"/>
    <b v="0"/>
    <b v="0"/>
    <d v="2026-06-05T00:00:00"/>
    <n v="525.6"/>
    <n v="8349"/>
    <s v="₹5,000–₹10,000"/>
    <s v="3.0–3.9"/>
    <x v="5"/>
  </r>
  <r>
    <s v="B0D7N23QKD"/>
    <x v="218"/>
    <s v="Tablet"/>
    <n v="35999"/>
    <n v="47999"/>
    <n v="0.25"/>
    <n v="4.5"/>
    <n v="939"/>
    <n v="1"/>
    <b v="0"/>
    <b v="0"/>
    <b v="0"/>
    <b v="0"/>
    <d v="2026-06-05T00:00:00"/>
    <n v="4225.5"/>
    <n v="35999"/>
    <s v="Above ₹10,000"/>
    <s v="4.5–5.0"/>
    <x v="2"/>
  </r>
  <r>
    <s v="B0FCR8HZVF"/>
    <x v="219"/>
    <s v="Tablet"/>
    <n v="54999"/>
    <n v="79000"/>
    <n v="0.30399999999999999"/>
    <n v="4.4000000000000004"/>
    <n v="291"/>
    <n v="1"/>
    <b v="0"/>
    <b v="0"/>
    <b v="0"/>
    <b v="0"/>
    <d v="2026-06-05T00:00:00"/>
    <n v="1280.4000000000001"/>
    <n v="54999"/>
    <s v="Above ₹10,000"/>
    <s v="4.0–4.4"/>
    <x v="5"/>
  </r>
  <r>
    <s v="B0BY2ZZ4SJ"/>
    <x v="220"/>
    <s v="Tablet"/>
    <n v="28999"/>
    <n v="39999"/>
    <n v="0.27500000000000002"/>
    <n v="4.5"/>
    <n v="743"/>
    <n v="1"/>
    <b v="0"/>
    <b v="0"/>
    <b v="0"/>
    <b v="0"/>
    <d v="2026-06-05T00:00:00"/>
    <n v="3343.5"/>
    <n v="28999"/>
    <s v="Above ₹10,000"/>
    <s v="4.5–5.0"/>
    <x v="2"/>
  </r>
  <r>
    <s v="B0DZ79Q1DB"/>
    <x v="221"/>
    <s v="Tablet"/>
    <n v="34400"/>
    <n v="34900"/>
    <n v="1.4E-2"/>
    <n v="4.5999999999999996"/>
    <n v="1602"/>
    <n v="1"/>
    <b v="0"/>
    <b v="0"/>
    <b v="0"/>
    <b v="0"/>
    <d v="2026-06-05T00:00:00"/>
    <n v="7369.2"/>
    <n v="34400"/>
    <s v="Above ₹10,000"/>
    <s v="4.5–5.0"/>
    <x v="0"/>
  </r>
  <r>
    <s v="B0GX6Q2NBS"/>
    <x v="222"/>
    <s v="Tablet"/>
    <n v="64999"/>
    <n v="67999"/>
    <n v="4.3999999999999997E-2"/>
    <n v="4.2"/>
    <n v="41"/>
    <n v="1"/>
    <b v="0"/>
    <b v="0"/>
    <b v="0"/>
    <b v="0"/>
    <d v="2026-06-05T00:00:00"/>
    <n v="172.20000000000002"/>
    <n v="64999"/>
    <s v="Above ₹10,000"/>
    <s v="4.0–4.4"/>
    <x v="0"/>
  </r>
  <r>
    <s v="B0GWMPF9PM"/>
    <x v="223"/>
    <s v="Tablet"/>
    <n v="7550"/>
    <n v="24990"/>
    <n v="0.69799999999999995"/>
    <n v="3"/>
    <n v="9"/>
    <n v="1"/>
    <b v="0"/>
    <b v="0"/>
    <b v="0"/>
    <b v="0"/>
    <d v="2026-06-05T00:00:00"/>
    <n v="27"/>
    <n v="7550"/>
    <s v="₹5,000–₹10,000"/>
    <s v="3.0–3.9"/>
    <x v="3"/>
  </r>
  <r>
    <s v="B0GX6W5XYT"/>
    <x v="224"/>
    <s v="Tablet"/>
    <n v="59999"/>
    <n v="62999"/>
    <n v="4.8000000000000001E-2"/>
    <n v="4.2"/>
    <n v="41"/>
    <n v="1"/>
    <b v="0"/>
    <b v="0"/>
    <b v="0"/>
    <b v="0"/>
    <d v="2026-06-05T00:00:00"/>
    <n v="172.20000000000002"/>
    <n v="59999"/>
    <s v="Above ₹10,000"/>
    <s v="4.0–4.4"/>
    <x v="0"/>
  </r>
  <r>
    <s v="B0GQTJDRSL"/>
    <x v="225"/>
    <s v="Tablet"/>
    <n v="25499"/>
    <n v="44999"/>
    <n v="0.433"/>
    <n v="3.6"/>
    <n v="65"/>
    <n v="1"/>
    <b v="0"/>
    <b v="0"/>
    <b v="0"/>
    <b v="0"/>
    <d v="2026-06-05T00:00:00"/>
    <n v="234"/>
    <n v="25499"/>
    <s v="Above ₹10,000"/>
    <s v="3.0–3.9"/>
    <x v="5"/>
  </r>
  <r>
    <s v="B0DZCB3G9Q"/>
    <x v="226"/>
    <s v="Tablet"/>
    <n v="33999"/>
    <n v="48999"/>
    <n v="0.30599999999999999"/>
    <n v="4.4000000000000004"/>
    <n v="787"/>
    <n v="1"/>
    <b v="0"/>
    <b v="0"/>
    <b v="0"/>
    <b v="0"/>
    <d v="2026-06-05T00:00:00"/>
    <n v="3462.8"/>
    <n v="33999"/>
    <s v="Above ₹10,000"/>
    <s v="4.0–4.4"/>
    <x v="5"/>
  </r>
  <r>
    <s v="B0FVXV5Z8W"/>
    <x v="227"/>
    <s v="Tablet"/>
    <n v="25790"/>
    <n v="28000"/>
    <n v="7.9000000000000001E-2"/>
    <n v="3.8"/>
    <n v="58"/>
    <n v="1"/>
    <b v="0"/>
    <b v="0"/>
    <b v="0"/>
    <b v="0"/>
    <d v="2026-06-05T00:00:00"/>
    <n v="220.39999999999998"/>
    <n v="25790"/>
    <s v="Above ₹10,000"/>
    <s v="3.0–3.9"/>
    <x v="0"/>
  </r>
  <r>
    <s v="B0GGB63MFD"/>
    <x v="228"/>
    <s v="Tablet"/>
    <n v="7199"/>
    <n v="8999"/>
    <n v="0.2"/>
    <n v="2.6"/>
    <n v="3"/>
    <n v="1"/>
    <b v="0"/>
    <b v="0"/>
    <b v="0"/>
    <b v="0"/>
    <d v="2026-06-05T00:00:00"/>
    <n v="7.8000000000000007"/>
    <n v="7199"/>
    <s v="₹5,000–₹10,000"/>
    <s v="2.0–2.9"/>
    <x v="2"/>
  </r>
  <r>
    <s v="B0GMJMGKRC"/>
    <x v="229"/>
    <s v="Tablet"/>
    <n v="7550"/>
    <n v="24990"/>
    <n v="0.69799999999999995"/>
    <n v="3.3"/>
    <n v="11"/>
    <n v="1"/>
    <b v="0"/>
    <b v="0"/>
    <b v="0"/>
    <b v="0"/>
    <d v="2026-06-05T00:00:00"/>
    <n v="36.299999999999997"/>
    <n v="7550"/>
    <s v="₹5,000–₹10,000"/>
    <s v="3.0–3.9"/>
    <x v="3"/>
  </r>
  <r>
    <s v="B0CJ389HC1"/>
    <x v="230"/>
    <s v="Tablet"/>
    <n v="18749"/>
    <n v="25999"/>
    <n v="0.27900000000000003"/>
    <n v="4"/>
    <n v="238"/>
    <n v="1"/>
    <b v="0"/>
    <b v="0"/>
    <b v="0"/>
    <b v="0"/>
    <d v="2026-06-05T00:00:00"/>
    <n v="952"/>
    <n v="18749"/>
    <s v="Above ₹10,000"/>
    <s v="4.0–4.4"/>
    <x v="2"/>
  </r>
  <r>
    <s v="B0GPVLKNN4"/>
    <x v="231"/>
    <s v="Tablet"/>
    <n v="35999"/>
    <n v="37999"/>
    <n v="5.2999999999999999E-2"/>
    <n v="4.4000000000000004"/>
    <n v="39"/>
    <n v="1"/>
    <b v="0"/>
    <b v="0"/>
    <b v="0"/>
    <b v="0"/>
    <d v="2026-06-05T00:00:00"/>
    <n v="171.60000000000002"/>
    <n v="35999"/>
    <s v="Above ₹10,000"/>
    <s v="4.0–4.4"/>
    <x v="0"/>
  </r>
  <r>
    <s v="B0DX234NWP"/>
    <x v="232"/>
    <s v="Tablet"/>
    <n v="39995"/>
    <n v="79999"/>
    <n v="0.5"/>
    <n v="4.3"/>
    <n v="288"/>
    <n v="1"/>
    <b v="0"/>
    <b v="0"/>
    <b v="0"/>
    <b v="0"/>
    <d v="2026-06-05T00:00:00"/>
    <n v="1238.3999999999999"/>
    <n v="39995"/>
    <s v="Above ₹10,000"/>
    <s v="4.0–4.4"/>
    <x v="3"/>
  </r>
  <r>
    <s v="B0F29L7HJP"/>
    <x v="233"/>
    <s v="Tablet"/>
    <n v="49999"/>
    <m/>
    <m/>
    <n v="4.5"/>
    <n v="242"/>
    <n v="1"/>
    <b v="0"/>
    <b v="0"/>
    <b v="0"/>
    <b v="0"/>
    <d v="2026-06-05T00:00:00"/>
    <n v="1089"/>
    <n v="49999"/>
    <s v="Above ₹10,000"/>
    <s v="4.5–5.0"/>
    <x v="1"/>
  </r>
  <r>
    <s v="B0FN7431GX"/>
    <x v="234"/>
    <s v="Tablet"/>
    <n v="49999"/>
    <m/>
    <m/>
    <n v="4.5"/>
    <n v="511"/>
    <n v="1"/>
    <b v="0"/>
    <b v="0"/>
    <b v="0"/>
    <b v="0"/>
    <d v="2026-06-05T00:00:00"/>
    <n v="2299.5"/>
    <n v="49999"/>
    <s v="Above ₹10,000"/>
    <s v="4.5–5.0"/>
    <x v="1"/>
  </r>
  <r>
    <s v="B0DHH9PWHJ"/>
    <x v="235"/>
    <s v="Tablet"/>
    <n v="79999"/>
    <n v="117599"/>
    <n v="0.32"/>
    <n v="3.9"/>
    <n v="22"/>
    <n v="1"/>
    <b v="0"/>
    <b v="0"/>
    <b v="0"/>
    <b v="0"/>
    <d v="2026-06-05T00:00:00"/>
    <n v="85.8"/>
    <n v="79999"/>
    <s v="Above ₹10,000"/>
    <s v="3.0–3.9"/>
    <x v="5"/>
  </r>
  <r>
    <s v="B0G823JLBV"/>
    <x v="236"/>
    <s v="Tablet"/>
    <n v="4099"/>
    <n v="5999"/>
    <n v="0.317"/>
    <n v="2.4"/>
    <n v="29"/>
    <n v="1"/>
    <b v="0"/>
    <b v="0"/>
    <b v="0"/>
    <b v="0"/>
    <d v="2026-06-05T00:00:00"/>
    <n v="69.599999999999994"/>
    <n v="4099"/>
    <s v="₹1,000–₹5,000"/>
    <s v="2.0–2.9"/>
    <x v="5"/>
  </r>
  <r>
    <s v="B0GDTRYXYF"/>
    <x v="237"/>
    <s v="Earbuds"/>
    <n v="599"/>
    <n v="2499"/>
    <n v="0.76"/>
    <n v="4"/>
    <n v="509"/>
    <n v="1"/>
    <b v="0"/>
    <b v="0"/>
    <b v="1"/>
    <b v="0"/>
    <d v="2026-06-05T00:00:00"/>
    <n v="2036"/>
    <n v="599"/>
    <s v="₹500–₹1,000"/>
    <s v="4.0–4.4"/>
    <x v="3"/>
  </r>
  <r>
    <s v="B0FC2YFSN4"/>
    <x v="238"/>
    <s v="Earbuds"/>
    <n v="899"/>
    <n v="3990"/>
    <n v="0.77500000000000002"/>
    <n v="3.9"/>
    <n v="5247"/>
    <n v="1"/>
    <b v="0"/>
    <b v="0"/>
    <b v="0"/>
    <b v="0"/>
    <d v="2026-06-05T00:00:00"/>
    <n v="20463.3"/>
    <n v="899"/>
    <s v="₹500–₹1,000"/>
    <s v="3.0–3.9"/>
    <x v="3"/>
  </r>
  <r>
    <s v="B0GTVK1YFJ"/>
    <x v="239"/>
    <s v="Earbuds"/>
    <n v="899"/>
    <n v="4499"/>
    <n v="0.8"/>
    <m/>
    <n v="0"/>
    <n v="1"/>
    <b v="0"/>
    <b v="0"/>
    <b v="0"/>
    <b v="0"/>
    <d v="2026-06-05T00:00:00"/>
    <s v=""/>
    <n v="899"/>
    <s v="₹500–₹1,000"/>
    <s v="Not Rated"/>
    <x v="3"/>
  </r>
  <r>
    <s v="B0FMDL81GS"/>
    <x v="240"/>
    <s v="Earbuds"/>
    <n v="1799"/>
    <n v="1999"/>
    <n v="0.1"/>
    <n v="4.3"/>
    <n v="45386"/>
    <n v="1"/>
    <b v="0"/>
    <b v="0"/>
    <b v="0"/>
    <b v="0"/>
    <d v="2026-06-05T00:00:00"/>
    <n v="195159.8"/>
    <n v="1799"/>
    <s v="₹1,000–₹5,000"/>
    <s v="4.0–4.4"/>
    <x v="4"/>
  </r>
  <r>
    <s v="B0GY8PF9S6"/>
    <x v="241"/>
    <s v="Earbuds"/>
    <n v="349"/>
    <n v="1999"/>
    <n v="0.82499999999999996"/>
    <m/>
    <n v="0"/>
    <n v="1"/>
    <b v="0"/>
    <b v="0"/>
    <b v="0"/>
    <b v="0"/>
    <d v="2026-06-05T00:00:00"/>
    <s v=""/>
    <n v="349"/>
    <s v="Under ₹500"/>
    <s v="Not Rated"/>
    <x v="3"/>
  </r>
  <r>
    <s v="B0G2H4R5YB"/>
    <x v="242"/>
    <s v="Earbuds"/>
    <n v="498.88"/>
    <n v="1999"/>
    <n v="0.75"/>
    <n v="4.2"/>
    <n v="680"/>
    <n v="1"/>
    <b v="0"/>
    <b v="0"/>
    <b v="0"/>
    <b v="0"/>
    <d v="2026-06-05T00:00:00"/>
    <n v="2856"/>
    <n v="498.88"/>
    <s v="Under ₹500"/>
    <s v="4.0–4.4"/>
    <x v="3"/>
  </r>
  <r>
    <s v="B0FZD7ZJGD"/>
    <x v="243"/>
    <s v="Earbuds"/>
    <n v="599"/>
    <n v="3499"/>
    <n v="0.82899999999999996"/>
    <n v="3.7"/>
    <n v="1062"/>
    <n v="1"/>
    <b v="0"/>
    <b v="0"/>
    <b v="0"/>
    <b v="0"/>
    <d v="2026-06-05T00:00:00"/>
    <n v="3929.4"/>
    <n v="599"/>
    <s v="₹500–₹1,000"/>
    <s v="3.0–3.9"/>
    <x v="3"/>
  </r>
  <r>
    <s v="B0FHKHT717"/>
    <x v="244"/>
    <s v="Earbuds"/>
    <n v="999"/>
    <n v="1999"/>
    <n v="0.5"/>
    <n v="3.9"/>
    <n v="691"/>
    <n v="1"/>
    <b v="0"/>
    <b v="0"/>
    <b v="0"/>
    <b v="0"/>
    <d v="2026-06-05T00:00:00"/>
    <n v="2694.9"/>
    <n v="999"/>
    <s v="₹500–₹1,000"/>
    <s v="3.0–3.9"/>
    <x v="3"/>
  </r>
  <r>
    <s v="B0C3ZYFZ77"/>
    <x v="245"/>
    <s v="Earbuds"/>
    <n v="799"/>
    <n v="3490"/>
    <n v="0.77100000000000002"/>
    <n v="3.8"/>
    <n v="9699"/>
    <n v="1"/>
    <b v="0"/>
    <b v="0"/>
    <b v="0"/>
    <b v="0"/>
    <d v="2026-06-05T00:00:00"/>
    <n v="36856.199999999997"/>
    <n v="799"/>
    <s v="₹500–₹1,000"/>
    <s v="3.0–3.9"/>
    <x v="3"/>
  </r>
  <r>
    <s v="B0F8BVSK21"/>
    <x v="246"/>
    <s v="Earbuds"/>
    <n v="799"/>
    <n v="3990"/>
    <n v="0.8"/>
    <n v="3.9"/>
    <n v="89370"/>
    <n v="1"/>
    <b v="0"/>
    <b v="0"/>
    <b v="0"/>
    <b v="0"/>
    <d v="2026-06-05T00:00:00"/>
    <n v="348543"/>
    <n v="799"/>
    <s v="₹500–₹1,000"/>
    <s v="3.0–3.9"/>
    <x v="3"/>
  </r>
  <r>
    <s v="B0FBR6HGXM"/>
    <x v="247"/>
    <s v="Earbuds"/>
    <n v="1329"/>
    <n v="2499"/>
    <n v="0.46800000000000003"/>
    <n v="4.0999999999999996"/>
    <n v="33124"/>
    <n v="1"/>
    <b v="0"/>
    <b v="0"/>
    <b v="0"/>
    <b v="0"/>
    <d v="2026-06-05T00:00:00"/>
    <n v="135808.4"/>
    <n v="1329"/>
    <s v="₹1,000–₹5,000"/>
    <s v="4.0–4.4"/>
    <x v="5"/>
  </r>
  <r>
    <s v="B0G6M5B9KC"/>
    <x v="248"/>
    <s v="Earbuds"/>
    <n v="699"/>
    <n v="1999"/>
    <n v="0.65"/>
    <n v="2"/>
    <n v="2"/>
    <n v="1"/>
    <b v="0"/>
    <b v="0"/>
    <b v="0"/>
    <b v="0"/>
    <d v="2026-06-05T00:00:00"/>
    <n v="4"/>
    <n v="699"/>
    <s v="₹500–₹1,000"/>
    <s v="2.0–2.9"/>
    <x v="3"/>
  </r>
  <r>
    <s v="B0FCMRVJKH"/>
    <x v="249"/>
    <s v="Earbuds"/>
    <n v="6099"/>
    <n v="6499"/>
    <n v="6.2E-2"/>
    <n v="4.3"/>
    <n v="2468"/>
    <n v="1"/>
    <b v="0"/>
    <b v="0"/>
    <b v="0"/>
    <b v="0"/>
    <d v="2026-06-05T00:00:00"/>
    <n v="10612.4"/>
    <n v="6099"/>
    <s v="₹5,000–₹10,000"/>
    <s v="4.0–4.4"/>
    <x v="0"/>
  </r>
  <r>
    <s v="B0DXPNVSSB"/>
    <x v="250"/>
    <s v="Earbuds"/>
    <n v="795"/>
    <n v="3990"/>
    <n v="0.80100000000000005"/>
    <n v="3.8"/>
    <n v="926"/>
    <n v="5"/>
    <b v="0"/>
    <b v="0"/>
    <b v="0"/>
    <b v="0"/>
    <d v="2026-06-05T00:00:00"/>
    <n v="3518.7999999999997"/>
    <n v="795"/>
    <s v="₹500–₹1,000"/>
    <s v="3.0–3.9"/>
    <x v="3"/>
  </r>
  <r>
    <s v="B0DFPKVGVC"/>
    <x v="251"/>
    <s v="Earbuds"/>
    <n v="2599"/>
    <n v="2799"/>
    <n v="7.0999999999999994E-2"/>
    <n v="4.3"/>
    <n v="21134"/>
    <n v="1"/>
    <b v="0"/>
    <b v="0"/>
    <b v="0"/>
    <b v="0"/>
    <d v="2026-06-05T00:00:00"/>
    <n v="90876.2"/>
    <n v="2599"/>
    <s v="₹1,000–₹5,000"/>
    <s v="4.0–4.4"/>
    <x v="0"/>
  </r>
  <r>
    <s v="B0DZXTVL6V"/>
    <x v="252"/>
    <s v="Earbuds"/>
    <n v="799"/>
    <n v="3990"/>
    <n v="0.8"/>
    <n v="3.7"/>
    <n v="5979"/>
    <n v="1"/>
    <b v="0"/>
    <b v="0"/>
    <b v="0"/>
    <b v="0"/>
    <d v="2026-06-05T00:00:00"/>
    <n v="22122.3"/>
    <n v="799"/>
    <s v="₹500–₹1,000"/>
    <s v="3.0–3.9"/>
    <x v="3"/>
  </r>
  <r>
    <s v="B0DBGNDTY2"/>
    <x v="253"/>
    <s v="Earbuds"/>
    <n v="2199"/>
    <n v="3999"/>
    <n v="0.45"/>
    <n v="4.2"/>
    <n v="8652"/>
    <n v="1"/>
    <b v="0"/>
    <b v="0"/>
    <b v="0"/>
    <b v="0"/>
    <d v="2026-06-05T00:00:00"/>
    <n v="36338.400000000001"/>
    <n v="2199"/>
    <s v="₹1,000–₹5,000"/>
    <s v="4.0–4.4"/>
    <x v="5"/>
  </r>
  <r>
    <s v="B0FDGVNSLH"/>
    <x v="254"/>
    <s v="Earbuds"/>
    <n v="4399"/>
    <n v="9999"/>
    <n v="0.56000000000000005"/>
    <n v="4"/>
    <n v="2445"/>
    <n v="1"/>
    <b v="0"/>
    <b v="0"/>
    <b v="0"/>
    <b v="0"/>
    <d v="2026-06-05T00:00:00"/>
    <n v="9780"/>
    <n v="4399"/>
    <s v="₹1,000–₹5,000"/>
    <s v="4.0–4.4"/>
    <x v="3"/>
  </r>
  <r>
    <s v="B0BQN3NW8C"/>
    <x v="255"/>
    <s v="Earbuds"/>
    <n v="999"/>
    <n v="4999"/>
    <n v="0.8"/>
    <n v="3.9"/>
    <n v="36324"/>
    <n v="1"/>
    <b v="0"/>
    <b v="0"/>
    <b v="0"/>
    <b v="0"/>
    <d v="2026-06-05T00:00:00"/>
    <n v="141663.6"/>
    <n v="999"/>
    <s v="₹500–₹1,000"/>
    <s v="3.0–3.9"/>
    <x v="3"/>
  </r>
  <r>
    <s v="B0GMJLFCR7"/>
    <x v="256"/>
    <s v="Earbuds"/>
    <n v="22999"/>
    <n v="29999"/>
    <n v="0.23300000000000001"/>
    <n v="4.5999999999999996"/>
    <n v="174"/>
    <n v="1"/>
    <b v="0"/>
    <b v="0"/>
    <b v="0"/>
    <b v="0"/>
    <d v="2026-06-05T00:00:00"/>
    <n v="800.4"/>
    <n v="22999"/>
    <s v="Above ₹10,000"/>
    <s v="4.5–5.0"/>
    <x v="2"/>
  </r>
  <r>
    <s v="B0GDR29F53"/>
    <x v="257"/>
    <s v="Earbuds"/>
    <n v="322.54000000000002"/>
    <n v="799"/>
    <n v="0.59599999999999997"/>
    <n v="4.0999999999999996"/>
    <n v="9487"/>
    <n v="1"/>
    <b v="0"/>
    <b v="0"/>
    <b v="0"/>
    <b v="0"/>
    <d v="2026-06-05T00:00:00"/>
    <n v="38896.699999999997"/>
    <n v="322.54000000000002"/>
    <s v="Under ₹500"/>
    <s v="4.0–4.4"/>
    <x v="3"/>
  </r>
  <r>
    <s v="B0GDQ28DY5"/>
    <x v="258"/>
    <s v="Earbuds"/>
    <n v="3599"/>
    <n v="5299"/>
    <n v="0.32100000000000001"/>
    <n v="4.2"/>
    <n v="794"/>
    <n v="1"/>
    <b v="0"/>
    <b v="0"/>
    <b v="0"/>
    <b v="0"/>
    <d v="2026-06-05T00:00:00"/>
    <n v="3334.8"/>
    <n v="3599"/>
    <s v="₹1,000–₹5,000"/>
    <s v="4.0–4.4"/>
    <x v="5"/>
  </r>
  <r>
    <s v="B0DS2Y94LS"/>
    <x v="259"/>
    <s v="Earbuds"/>
    <n v="1199"/>
    <n v="3999"/>
    <n v="0.7"/>
    <n v="3.6"/>
    <n v="7217"/>
    <n v="1"/>
    <b v="0"/>
    <b v="0"/>
    <b v="0"/>
    <b v="0"/>
    <d v="2026-06-05T00:00:00"/>
    <n v="25981.200000000001"/>
    <n v="1199"/>
    <s v="₹1,000–₹5,000"/>
    <s v="3.0–3.9"/>
    <x v="3"/>
  </r>
  <r>
    <s v="B0GQTNXDYM"/>
    <x v="260"/>
    <s v="Earbuds"/>
    <n v="3999"/>
    <m/>
    <m/>
    <n v="4.3"/>
    <n v="655"/>
    <n v="1"/>
    <b v="0"/>
    <b v="0"/>
    <b v="0"/>
    <b v="0"/>
    <d v="2026-06-05T00:00:00"/>
    <n v="2816.5"/>
    <n v="3999"/>
    <s v="₹1,000–₹5,000"/>
    <s v="4.0–4.4"/>
    <x v="1"/>
  </r>
  <r>
    <s v="B0DCVLM12X"/>
    <x v="261"/>
    <s v="Earbuds"/>
    <n v="929"/>
    <n v="2998"/>
    <n v="0.69"/>
    <n v="4.0999999999999996"/>
    <n v="356"/>
    <n v="1"/>
    <b v="0"/>
    <b v="0"/>
    <b v="0"/>
    <b v="0"/>
    <d v="2026-06-05T00:00:00"/>
    <n v="1459.6"/>
    <n v="929"/>
    <s v="₹500–₹1,000"/>
    <s v="4.0–4.4"/>
    <x v="3"/>
  </r>
  <r>
    <s v="B09Y5N4M7Z"/>
    <x v="262"/>
    <s v="Earbuds"/>
    <n v="1099"/>
    <n v="3499"/>
    <n v="0.68600000000000005"/>
    <n v="3.8"/>
    <n v="30056"/>
    <n v="1"/>
    <b v="0"/>
    <b v="0"/>
    <b v="0"/>
    <b v="0"/>
    <d v="2026-06-05T00:00:00"/>
    <n v="114212.79999999999"/>
    <n v="1099"/>
    <s v="₹1,000–₹5,000"/>
    <s v="3.0–3.9"/>
    <x v="3"/>
  </r>
  <r>
    <s v="B0F62JBFBS"/>
    <x v="263"/>
    <s v="Earbuds"/>
    <n v="597"/>
    <n v="1999"/>
    <n v="0.70099999999999996"/>
    <n v="3.9"/>
    <n v="3961"/>
    <n v="1"/>
    <b v="0"/>
    <b v="0"/>
    <b v="0"/>
    <b v="0"/>
    <d v="2026-06-05T00:00:00"/>
    <n v="15447.9"/>
    <n v="597"/>
    <s v="₹500–₹1,000"/>
    <s v="3.0–3.9"/>
    <x v="3"/>
  </r>
  <r>
    <s v="B0DRD7G7F5"/>
    <x v="264"/>
    <s v="Earbuds"/>
    <n v="2999"/>
    <n v="4999"/>
    <n v="0.4"/>
    <n v="4.3"/>
    <n v="3759"/>
    <n v="1"/>
    <b v="0"/>
    <b v="0"/>
    <b v="0"/>
    <b v="0"/>
    <d v="2026-06-05T00:00:00"/>
    <n v="16163.699999999999"/>
    <n v="2999"/>
    <s v="₹1,000–₹5,000"/>
    <s v="4.0–4.4"/>
    <x v="5"/>
  </r>
  <r>
    <s v="B0DHL63KWK"/>
    <x v="265"/>
    <s v="Earbuds"/>
    <n v="2499"/>
    <n v="6999"/>
    <n v="0.64300000000000002"/>
    <n v="3.5"/>
    <n v="47730"/>
    <n v="1"/>
    <b v="0"/>
    <b v="0"/>
    <b v="0"/>
    <b v="0"/>
    <d v="2026-06-05T00:00:00"/>
    <n v="167055"/>
    <n v="2499"/>
    <s v="₹1,000–₹5,000"/>
    <s v="3.0–3.9"/>
    <x v="3"/>
  </r>
  <r>
    <s v="B0FSDYHR92"/>
    <x v="266"/>
    <s v="Earbuds"/>
    <n v="479"/>
    <n v="2999"/>
    <n v="0.84"/>
    <n v="3.5"/>
    <n v="498"/>
    <n v="1"/>
    <b v="0"/>
    <b v="0"/>
    <b v="0"/>
    <b v="0"/>
    <d v="2026-06-05T00:00:00"/>
    <n v="1743"/>
    <n v="479"/>
    <s v="Under ₹500"/>
    <s v="3.0–3.9"/>
    <x v="3"/>
  </r>
  <r>
    <s v="B0FTFMNYBV"/>
    <x v="267"/>
    <s v="Earbuds"/>
    <n v="999"/>
    <n v="3499"/>
    <n v="0.71399999999999997"/>
    <n v="4.2"/>
    <n v="948"/>
    <n v="1"/>
    <b v="0"/>
    <b v="0"/>
    <b v="0"/>
    <b v="0"/>
    <d v="2026-06-05T00:00:00"/>
    <n v="3981.6000000000004"/>
    <n v="999"/>
    <s v="₹500–₹1,000"/>
    <s v="4.0–4.4"/>
    <x v="3"/>
  </r>
  <r>
    <s v="B0DH2158PJ"/>
    <x v="268"/>
    <s v="Earbuds"/>
    <n v="209"/>
    <n v="499"/>
    <n v="0.58099999999999996"/>
    <n v="3.2"/>
    <n v="669"/>
    <n v="1"/>
    <b v="0"/>
    <b v="0"/>
    <b v="0"/>
    <b v="0"/>
    <d v="2026-06-05T00:00:00"/>
    <n v="2140.8000000000002"/>
    <n v="209"/>
    <s v="Under ₹500"/>
    <s v="3.0–3.9"/>
    <x v="3"/>
  </r>
  <r>
    <s v="B0GMQLR7JL"/>
    <x v="269"/>
    <s v="Earbuds"/>
    <n v="690"/>
    <n v="1999"/>
    <n v="0.65500000000000003"/>
    <n v="1.7"/>
    <n v="10"/>
    <n v="1"/>
    <b v="0"/>
    <b v="0"/>
    <b v="0"/>
    <b v="0"/>
    <d v="2026-06-05T00:00:00"/>
    <n v="17"/>
    <n v="690"/>
    <s v="₹500–₹1,000"/>
    <s v="Below 2.0"/>
    <x v="3"/>
  </r>
  <r>
    <s v="B0CFYJ8HRS"/>
    <x v="270"/>
    <s v="Earbuds"/>
    <n v="2999"/>
    <n v="6999"/>
    <n v="0.57199999999999995"/>
    <n v="3.3"/>
    <n v="3571"/>
    <n v="3"/>
    <b v="0"/>
    <b v="0"/>
    <b v="0"/>
    <b v="0"/>
    <d v="2026-06-05T00:00:00"/>
    <n v="11784.3"/>
    <n v="2999"/>
    <s v="₹1,000–₹5,000"/>
    <s v="3.0–3.9"/>
    <x v="3"/>
  </r>
  <r>
    <s v="B0GQTSHLLR"/>
    <x v="271"/>
    <s v="Earbuds"/>
    <n v="3999"/>
    <m/>
    <m/>
    <n v="4.3"/>
    <n v="655"/>
    <n v="1"/>
    <b v="0"/>
    <b v="0"/>
    <b v="0"/>
    <b v="0"/>
    <d v="2026-06-05T00:00:00"/>
    <n v="2816.5"/>
    <n v="3999"/>
    <s v="₹1,000–₹5,000"/>
    <s v="4.0–4.4"/>
    <x v="1"/>
  </r>
  <r>
    <s v="B0D4VN3S8T"/>
    <x v="272"/>
    <s v="Earbuds"/>
    <n v="1799"/>
    <n v="7999"/>
    <n v="0.77500000000000002"/>
    <n v="4"/>
    <n v="6615"/>
    <n v="1"/>
    <b v="0"/>
    <b v="0"/>
    <b v="0"/>
    <b v="0"/>
    <d v="2026-06-05T00:00:00"/>
    <n v="26460"/>
    <n v="1799"/>
    <s v="₹1,000–₹5,000"/>
    <s v="4.0–4.4"/>
    <x v="3"/>
  </r>
  <r>
    <s v="B0D3R1LVR3"/>
    <x v="273"/>
    <s v="Earbuds"/>
    <n v="899"/>
    <n v="2499"/>
    <n v="0.64"/>
    <n v="3.9"/>
    <n v="14890"/>
    <n v="1"/>
    <b v="0"/>
    <b v="0"/>
    <b v="0"/>
    <b v="0"/>
    <d v="2026-06-05T00:00:00"/>
    <n v="58071"/>
    <n v="899"/>
    <s v="₹500–₹1,000"/>
    <s v="3.0–3.9"/>
    <x v="3"/>
  </r>
  <r>
    <s v="B0FCLPQG26"/>
    <x v="274"/>
    <s v="Earbuds"/>
    <n v="6990"/>
    <n v="12990"/>
    <n v="0.46200000000000002"/>
    <n v="3.6"/>
    <n v="1083"/>
    <n v="1"/>
    <b v="0"/>
    <b v="0"/>
    <b v="0"/>
    <b v="0"/>
    <d v="2026-06-05T00:00:00"/>
    <n v="3898.8"/>
    <n v="6990"/>
    <s v="₹5,000–₹10,000"/>
    <s v="3.0–3.9"/>
    <x v="5"/>
  </r>
  <r>
    <s v="B0GZSJ3XKW"/>
    <x v="275"/>
    <s v="Earbuds"/>
    <n v="399"/>
    <n v="1999"/>
    <n v="0.8"/>
    <m/>
    <n v="0"/>
    <n v="1"/>
    <b v="0"/>
    <b v="0"/>
    <b v="0"/>
    <b v="0"/>
    <d v="2026-06-05T00:00:00"/>
    <s v=""/>
    <n v="399"/>
    <s v="Under ₹500"/>
    <s v="Not Rated"/>
    <x v="3"/>
  </r>
  <r>
    <s v="B0DBHBZZTN"/>
    <x v="276"/>
    <s v="Earbuds"/>
    <n v="3299"/>
    <n v="17990"/>
    <n v="0.81699999999999995"/>
    <n v="3.8"/>
    <n v="1368"/>
    <n v="1"/>
    <b v="0"/>
    <b v="0"/>
    <b v="0"/>
    <b v="0"/>
    <d v="2026-06-05T00:00:00"/>
    <n v="5198.3999999999996"/>
    <n v="3299"/>
    <s v="₹1,000–₹5,000"/>
    <s v="3.0–3.9"/>
    <x v="3"/>
  </r>
  <r>
    <s v="B0GCNNWM13"/>
    <x v="277"/>
    <s v="Earbuds"/>
    <n v="899"/>
    <n v="2999"/>
    <n v="0.7"/>
    <n v="3.9"/>
    <n v="3792"/>
    <n v="1"/>
    <b v="0"/>
    <b v="0"/>
    <b v="0"/>
    <b v="0"/>
    <d v="2026-06-05T00:00:00"/>
    <n v="14788.8"/>
    <n v="899"/>
    <s v="₹500–₹1,000"/>
    <s v="3.0–3.9"/>
    <x v="3"/>
  </r>
  <r>
    <s v="B0GF7M1X2N"/>
    <x v="278"/>
    <s v="Earbuds"/>
    <n v="1499"/>
    <n v="5499"/>
    <n v="0.72699999999999998"/>
    <n v="4"/>
    <n v="971"/>
    <n v="1"/>
    <b v="0"/>
    <b v="0"/>
    <b v="0"/>
    <b v="0"/>
    <d v="2026-06-05T00:00:00"/>
    <n v="3884"/>
    <n v="1499"/>
    <s v="₹1,000–₹5,000"/>
    <s v="4.0–4.4"/>
    <x v="3"/>
  </r>
  <r>
    <s v="B0FZ9YLWP1"/>
    <x v="279"/>
    <s v="Earbuds"/>
    <n v="1499"/>
    <n v="3999"/>
    <n v="0.625"/>
    <n v="4"/>
    <n v="127"/>
    <n v="1"/>
    <b v="0"/>
    <b v="0"/>
    <b v="0"/>
    <b v="0"/>
    <d v="2026-06-05T00:00:00"/>
    <n v="508"/>
    <n v="1499"/>
    <s v="₹1,000–₹5,000"/>
    <s v="4.0–4.4"/>
    <x v="3"/>
  </r>
  <r>
    <s v="B0G2S1MZRX"/>
    <x v="280"/>
    <s v="Earbuds"/>
    <n v="2599"/>
    <n v="9990"/>
    <n v="0.74"/>
    <n v="3.7"/>
    <n v="543"/>
    <n v="1"/>
    <b v="0"/>
    <b v="0"/>
    <b v="0"/>
    <b v="0"/>
    <d v="2026-06-05T00:00:00"/>
    <n v="2009.1000000000001"/>
    <n v="2599"/>
    <s v="₹1,000–₹5,000"/>
    <s v="3.0–3.9"/>
    <x v="3"/>
  </r>
  <r>
    <s v="B0CQJZD55X"/>
    <x v="281"/>
    <s v="Earbuds"/>
    <n v="999"/>
    <n v="3499"/>
    <n v="0.71399999999999997"/>
    <n v="3.8"/>
    <n v="15622"/>
    <n v="1"/>
    <b v="0"/>
    <b v="0"/>
    <b v="0"/>
    <b v="0"/>
    <d v="2026-06-05T00:00:00"/>
    <n v="59363.6"/>
    <n v="999"/>
    <s v="₹500–₹1,000"/>
    <s v="3.0–3.9"/>
    <x v="3"/>
  </r>
  <r>
    <s v="B0D9K1TSMP"/>
    <x v="282"/>
    <s v="Earbuds"/>
    <n v="209"/>
    <n v="499"/>
    <n v="0.58099999999999996"/>
    <n v="4.0999999999999996"/>
    <n v="968"/>
    <n v="1"/>
    <b v="0"/>
    <b v="0"/>
    <b v="0"/>
    <b v="0"/>
    <d v="2026-06-05T00:00:00"/>
    <n v="3968.7999999999997"/>
    <n v="209"/>
    <s v="Under ₹500"/>
    <s v="4.0–4.4"/>
    <x v="3"/>
  </r>
  <r>
    <s v="B0DN1RPL19"/>
    <x v="283"/>
    <s v="Earbuds"/>
    <n v="1799"/>
    <n v="5999"/>
    <n v="0.7"/>
    <n v="4"/>
    <n v="13588"/>
    <n v="1"/>
    <b v="0"/>
    <b v="0"/>
    <b v="0"/>
    <b v="0"/>
    <d v="2026-06-05T00:00:00"/>
    <n v="54352"/>
    <n v="1799"/>
    <s v="₹1,000–₹5,000"/>
    <s v="4.0–4.4"/>
    <x v="3"/>
  </r>
  <r>
    <s v="B0FCM61QWL"/>
    <x v="284"/>
    <s v="Television"/>
    <n v="8999"/>
    <n v="18999"/>
    <n v="0.52600000000000002"/>
    <n v="3.8"/>
    <n v="3015"/>
    <n v="1"/>
    <b v="0"/>
    <b v="0"/>
    <b v="0"/>
    <b v="0"/>
    <d v="2026-06-05T00:00:00"/>
    <n v="11457"/>
    <n v="8999"/>
    <s v="₹5,000–₹10,000"/>
    <s v="3.0–3.9"/>
    <x v="3"/>
  </r>
  <r>
    <s v="B0GX52LD7V"/>
    <x v="285"/>
    <s v="Television"/>
    <n v="14999"/>
    <n v="29999"/>
    <n v="0.5"/>
    <n v="4.2"/>
    <n v="15713"/>
    <n v="1"/>
    <b v="0"/>
    <b v="0"/>
    <b v="0"/>
    <b v="0"/>
    <d v="2026-06-05T00:00:00"/>
    <n v="65994.600000000006"/>
    <n v="14999"/>
    <s v="Above ₹10,000"/>
    <s v="4.0–4.4"/>
    <x v="3"/>
  </r>
  <r>
    <s v="B0F3JM1YP5"/>
    <x v="286"/>
    <s v="Television"/>
    <n v="12999"/>
    <m/>
    <m/>
    <n v="4.2"/>
    <n v="914"/>
    <n v="1"/>
    <b v="0"/>
    <b v="0"/>
    <b v="0"/>
    <b v="0"/>
    <d v="2026-06-05T00:00:00"/>
    <n v="3838.8"/>
    <n v="12999"/>
    <s v="Above ₹10,000"/>
    <s v="4.0–4.4"/>
    <x v="1"/>
  </r>
  <r>
    <s v="B0F84DKX8K"/>
    <x v="287"/>
    <s v="Television"/>
    <n v="23990"/>
    <n v="27500"/>
    <n v="0.128"/>
    <n v="4.0999999999999996"/>
    <n v="5926"/>
    <n v="1"/>
    <b v="0"/>
    <b v="0"/>
    <b v="1"/>
    <b v="0"/>
    <d v="2026-06-05T00:00:00"/>
    <n v="24296.6"/>
    <n v="23990"/>
    <s v="Above ₹10,000"/>
    <s v="4.0–4.4"/>
    <x v="4"/>
  </r>
  <r>
    <s v="B0GJG3GKYD"/>
    <x v="288"/>
    <s v="Television"/>
    <n v="5490"/>
    <n v="20990"/>
    <n v="0.73799999999999999"/>
    <n v="4.0999999999999996"/>
    <n v="157"/>
    <n v="1"/>
    <b v="0"/>
    <b v="0"/>
    <b v="0"/>
    <b v="0"/>
    <d v="2026-06-05T00:00:00"/>
    <n v="643.69999999999993"/>
    <n v="5490"/>
    <s v="₹5,000–₹10,000"/>
    <s v="4.0–4.4"/>
    <x v="3"/>
  </r>
  <r>
    <s v="B0F222LP9Y"/>
    <x v="289"/>
    <s v="Television"/>
    <n v="13999"/>
    <n v="25999"/>
    <n v="0.46200000000000002"/>
    <n v="3.8"/>
    <n v="3020"/>
    <n v="1"/>
    <b v="0"/>
    <b v="0"/>
    <b v="0"/>
    <b v="0"/>
    <d v="2026-06-05T00:00:00"/>
    <n v="11476"/>
    <n v="13999"/>
    <s v="Above ₹10,000"/>
    <s v="3.0–3.9"/>
    <x v="5"/>
  </r>
  <r>
    <s v="B0DZHRYFG7"/>
    <x v="290"/>
    <s v="Television"/>
    <n v="20990"/>
    <n v="35990"/>
    <n v="0.41699999999999998"/>
    <n v="4"/>
    <n v="2226"/>
    <n v="1"/>
    <b v="0"/>
    <b v="0"/>
    <b v="0"/>
    <b v="0"/>
    <d v="2026-06-05T00:00:00"/>
    <n v="8904"/>
    <n v="20990"/>
    <s v="Above ₹10,000"/>
    <s v="4.0–4.4"/>
    <x v="5"/>
  </r>
  <r>
    <s v="B0DBZGXXP7"/>
    <x v="291"/>
    <s v="Television"/>
    <n v="25299"/>
    <n v="98990"/>
    <n v="0.74399999999999999"/>
    <n v="3.6"/>
    <n v="109"/>
    <n v="1"/>
    <b v="0"/>
    <b v="0"/>
    <b v="0"/>
    <b v="0"/>
    <d v="2026-06-05T00:00:00"/>
    <n v="392.40000000000003"/>
    <n v="25299"/>
    <s v="Above ₹10,000"/>
    <s v="3.0–3.9"/>
    <x v="3"/>
  </r>
  <r>
    <s v="B0FBW5S6H2"/>
    <x v="292"/>
    <s v="Television"/>
    <n v="22999"/>
    <n v="34999"/>
    <n v="0.34300000000000003"/>
    <n v="4.2"/>
    <n v="739"/>
    <n v="1"/>
    <b v="0"/>
    <b v="0"/>
    <b v="0"/>
    <b v="0"/>
    <d v="2026-06-05T00:00:00"/>
    <n v="3103.8"/>
    <n v="22999"/>
    <s v="Above ₹10,000"/>
    <s v="4.0–4.4"/>
    <x v="5"/>
  </r>
  <r>
    <s v="B07MNNH484"/>
    <x v="293"/>
    <s v="Television"/>
    <n v="8499"/>
    <n v="16999"/>
    <n v="0.5"/>
    <n v="3.6"/>
    <n v="6823"/>
    <n v="1"/>
    <b v="0"/>
    <b v="0"/>
    <b v="0"/>
    <b v="0"/>
    <d v="2026-06-05T00:00:00"/>
    <n v="24562.799999999999"/>
    <n v="8499"/>
    <s v="₹5,000–₹10,000"/>
    <s v="3.0–3.9"/>
    <x v="3"/>
  </r>
  <r>
    <s v="B0DFYBF423"/>
    <x v="294"/>
    <s v="Television"/>
    <n v="10999"/>
    <n v="22999"/>
    <n v="0.52200000000000002"/>
    <n v="3.9"/>
    <n v="1431"/>
    <n v="1"/>
    <b v="0"/>
    <b v="0"/>
    <b v="0"/>
    <b v="0"/>
    <d v="2026-06-05T00:00:00"/>
    <n v="5580.9"/>
    <n v="10999"/>
    <s v="Above ₹10,000"/>
    <s v="3.0–3.9"/>
    <x v="3"/>
  </r>
  <r>
    <s v="B0FDQRTXBC"/>
    <x v="295"/>
    <s v="Television"/>
    <n v="55999"/>
    <n v="64990"/>
    <n v="0.13800000000000001"/>
    <n v="4.2"/>
    <n v="1429"/>
    <n v="1"/>
    <b v="0"/>
    <b v="0"/>
    <b v="0"/>
    <b v="0"/>
    <d v="2026-06-05T00:00:00"/>
    <n v="6001.8"/>
    <n v="55999"/>
    <s v="Above ₹10,000"/>
    <s v="4.0–4.4"/>
    <x v="4"/>
  </r>
  <r>
    <s v="B0G2CG8XQX"/>
    <x v="296"/>
    <s v="Television"/>
    <n v="45999"/>
    <n v="79999"/>
    <n v="0.42499999999999999"/>
    <n v="4.3"/>
    <n v="76"/>
    <n v="1"/>
    <b v="0"/>
    <b v="0"/>
    <b v="0"/>
    <b v="0"/>
    <d v="2026-06-05T00:00:00"/>
    <n v="326.8"/>
    <n v="45999"/>
    <s v="Above ₹10,000"/>
    <s v="4.0–4.4"/>
    <x v="5"/>
  </r>
  <r>
    <s v="B0F6ZCRGG5"/>
    <x v="297"/>
    <s v="Television"/>
    <n v="21999"/>
    <n v="30999"/>
    <n v="0.28999999999999998"/>
    <n v="4.0999999999999996"/>
    <n v="426"/>
    <n v="1"/>
    <b v="0"/>
    <b v="0"/>
    <b v="0"/>
    <b v="0"/>
    <d v="2026-06-05T00:00:00"/>
    <n v="1746.6"/>
    <n v="21999"/>
    <s v="Above ₹10,000"/>
    <s v="4.0–4.4"/>
    <x v="2"/>
  </r>
  <r>
    <s v="B0GJGCNL3B"/>
    <x v="298"/>
    <s v="Television"/>
    <m/>
    <m/>
    <m/>
    <n v="4.4000000000000004"/>
    <n v="10"/>
    <n v="1"/>
    <b v="0"/>
    <b v="0"/>
    <b v="0"/>
    <b v="0"/>
    <d v="2026-06-05T00:00:00"/>
    <n v="44"/>
    <m/>
    <s v=" "/>
    <s v="4.0–4.4"/>
    <x v="1"/>
  </r>
  <r>
    <s v="B0GQC14DKQ"/>
    <x v="299"/>
    <s v="Television"/>
    <n v="24499"/>
    <n v="41490"/>
    <n v="0.41"/>
    <n v="4.5"/>
    <n v="13"/>
    <n v="1"/>
    <b v="0"/>
    <b v="0"/>
    <b v="0"/>
    <b v="0"/>
    <d v="2026-06-05T00:00:00"/>
    <n v="58.5"/>
    <n v="24499"/>
    <s v="Above ₹10,000"/>
    <s v="4.5–5.0"/>
    <x v="5"/>
  </r>
  <r>
    <s v="B0F2J6QCJB"/>
    <x v="300"/>
    <s v="Television"/>
    <n v="66990"/>
    <n v="199990"/>
    <n v="0.66500000000000004"/>
    <n v="4.0999999999999996"/>
    <n v="892"/>
    <n v="1"/>
    <b v="0"/>
    <b v="0"/>
    <b v="0"/>
    <b v="0"/>
    <d v="2026-06-05T00:00:00"/>
    <n v="3657.2"/>
    <n v="66990"/>
    <s v="Above ₹10,000"/>
    <s v="4.0–4.4"/>
    <x v="3"/>
  </r>
  <r>
    <s v="B0GK9D99SG"/>
    <x v="301"/>
    <s v="Television"/>
    <n v="25999"/>
    <n v="99999"/>
    <n v="0.74"/>
    <n v="4.4000000000000004"/>
    <n v="331"/>
    <n v="1"/>
    <b v="0"/>
    <b v="0"/>
    <b v="0"/>
    <b v="0"/>
    <d v="2026-06-05T00:00:00"/>
    <n v="1456.4"/>
    <n v="25999"/>
    <s v="Above ₹10,000"/>
    <s v="4.0–4.4"/>
    <x v="3"/>
  </r>
  <r>
    <s v="B0DR2Q2R44"/>
    <x v="302"/>
    <s v="Television"/>
    <n v="9999"/>
    <n v="22999"/>
    <n v="0.56499999999999995"/>
    <n v="4.0999999999999996"/>
    <n v="1082"/>
    <n v="1"/>
    <b v="0"/>
    <b v="0"/>
    <b v="0"/>
    <b v="0"/>
    <d v="2026-06-05T00:00:00"/>
    <n v="4436.2"/>
    <n v="9999"/>
    <s v="₹5,000–₹10,000"/>
    <s v="4.0–4.4"/>
    <x v="3"/>
  </r>
  <r>
    <s v="B0F43CHDSN"/>
    <x v="303"/>
    <s v="Television"/>
    <n v="43990"/>
    <n v="75500"/>
    <n v="0.41699999999999998"/>
    <n v="4"/>
    <n v="1272"/>
    <n v="1"/>
    <b v="0"/>
    <b v="0"/>
    <b v="0"/>
    <b v="0"/>
    <d v="2026-06-05T00:00:00"/>
    <n v="5088"/>
    <n v="43990"/>
    <s v="Above ₹10,000"/>
    <s v="4.0–4.4"/>
    <x v="5"/>
  </r>
  <r>
    <s v="B0F437CWLS"/>
    <x v="304"/>
    <s v="Television"/>
    <n v="38990"/>
    <n v="50600"/>
    <n v="0.22900000000000001"/>
    <n v="4"/>
    <n v="636"/>
    <n v="1"/>
    <b v="0"/>
    <b v="0"/>
    <b v="0"/>
    <b v="0"/>
    <d v="2026-06-05T00:00:00"/>
    <n v="2544"/>
    <n v="38990"/>
    <s v="Above ₹10,000"/>
    <s v="4.0–4.4"/>
    <x v="2"/>
  </r>
  <r>
    <s v="B0CVV489CY"/>
    <x v="305"/>
    <s v="Television"/>
    <n v="9999"/>
    <n v="55290"/>
    <n v="0.81899999999999995"/>
    <n v="3.3"/>
    <n v="51"/>
    <n v="1"/>
    <b v="0"/>
    <b v="0"/>
    <b v="0"/>
    <b v="0"/>
    <d v="2026-06-05T00:00:00"/>
    <n v="168.29999999999998"/>
    <n v="9999"/>
    <s v="₹5,000–₹10,000"/>
    <s v="3.0–3.9"/>
    <x v="3"/>
  </r>
  <r>
    <s v="B0G6LTHMLF"/>
    <x v="306"/>
    <s v="Television"/>
    <n v="45999"/>
    <n v="84999"/>
    <n v="0.45900000000000002"/>
    <n v="4.4000000000000004"/>
    <n v="164"/>
    <n v="1"/>
    <b v="0"/>
    <b v="0"/>
    <b v="0"/>
    <b v="0"/>
    <d v="2026-06-05T00:00:00"/>
    <n v="721.6"/>
    <n v="45999"/>
    <s v="Above ₹10,000"/>
    <s v="4.0–4.4"/>
    <x v="5"/>
  </r>
  <r>
    <s v="B0FDW7819M"/>
    <x v="307"/>
    <s v="Television"/>
    <n v="24999"/>
    <n v="63999"/>
    <n v="0.60899999999999999"/>
    <n v="3.3"/>
    <n v="208"/>
    <n v="1"/>
    <b v="0"/>
    <b v="0"/>
    <b v="0"/>
    <b v="0"/>
    <d v="2026-06-05T00:00:00"/>
    <n v="686.4"/>
    <n v="24999"/>
    <s v="Above ₹10,000"/>
    <s v="3.0–3.9"/>
    <x v="3"/>
  </r>
  <r>
    <s v="B0H116Z7DT"/>
    <x v="308"/>
    <s v="Television"/>
    <n v="6999"/>
    <n v="12999"/>
    <n v="0.46200000000000002"/>
    <n v="4"/>
    <n v="3"/>
    <n v="1"/>
    <b v="0"/>
    <b v="0"/>
    <b v="0"/>
    <b v="0"/>
    <d v="2026-06-05T00:00:00"/>
    <n v="12"/>
    <n v="6999"/>
    <s v="₹5,000–₹10,000"/>
    <s v="4.0–4.4"/>
    <x v="5"/>
  </r>
  <r>
    <s v="B0FBS91DQF"/>
    <x v="309"/>
    <s v="Television"/>
    <n v="49990"/>
    <n v="80000"/>
    <n v="0.375"/>
    <n v="4.3"/>
    <n v="1791"/>
    <n v="1"/>
    <b v="0"/>
    <b v="0"/>
    <b v="0"/>
    <b v="0"/>
    <d v="2026-06-05T00:00:00"/>
    <n v="7701.2999999999993"/>
    <n v="49990"/>
    <s v="Above ₹10,000"/>
    <s v="4.0–4.4"/>
    <x v="5"/>
  </r>
  <r>
    <s v="B0F38M36TN"/>
    <x v="310"/>
    <s v="Television"/>
    <n v="42990"/>
    <n v="109990"/>
    <n v="0.60899999999999999"/>
    <n v="4.0999999999999996"/>
    <n v="1188"/>
    <n v="1"/>
    <b v="0"/>
    <b v="0"/>
    <b v="0"/>
    <b v="0"/>
    <d v="2026-06-05T00:00:00"/>
    <n v="4870.7999999999993"/>
    <n v="42990"/>
    <s v="Above ₹10,000"/>
    <s v="4.0–4.4"/>
    <x v="3"/>
  </r>
  <r>
    <s v="B0F6YVKDR2"/>
    <x v="311"/>
    <s v="Television"/>
    <n v="36999"/>
    <n v="48999"/>
    <n v="0.245"/>
    <n v="4.0999999999999996"/>
    <n v="4466"/>
    <n v="1"/>
    <b v="0"/>
    <b v="0"/>
    <b v="0"/>
    <b v="0"/>
    <d v="2026-06-05T00:00:00"/>
    <n v="18310.599999999999"/>
    <n v="36999"/>
    <s v="Above ₹10,000"/>
    <s v="4.0–4.4"/>
    <x v="2"/>
  </r>
  <r>
    <s v="B0DH8984MM"/>
    <x v="312"/>
    <s v="Television"/>
    <n v="49990"/>
    <n v="65000"/>
    <n v="0.23100000000000001"/>
    <n v="4.4000000000000004"/>
    <n v="607"/>
    <n v="1"/>
    <b v="0"/>
    <b v="0"/>
    <b v="0"/>
    <b v="0"/>
    <d v="2026-06-05T00:00:00"/>
    <n v="2670.8"/>
    <n v="49990"/>
    <s v="Above ₹10,000"/>
    <s v="4.0–4.4"/>
    <x v="2"/>
  </r>
  <r>
    <s v="B0F3HZP9XR"/>
    <x v="313"/>
    <s v="Television"/>
    <n v="99990"/>
    <n v="299990"/>
    <n v="0.66700000000000004"/>
    <n v="4.0999999999999996"/>
    <n v="1318"/>
    <n v="1"/>
    <b v="0"/>
    <b v="0"/>
    <b v="0"/>
    <b v="0"/>
    <d v="2026-06-05T00:00:00"/>
    <n v="5403.7999999999993"/>
    <n v="99990"/>
    <s v="Above ₹10,000"/>
    <s v="4.0–4.4"/>
    <x v="3"/>
  </r>
  <r>
    <s v="B0C6F23XP1"/>
    <x v="314"/>
    <s v="Television"/>
    <n v="499999"/>
    <m/>
    <m/>
    <n v="3.6"/>
    <n v="18"/>
    <n v="1"/>
    <b v="0"/>
    <b v="0"/>
    <b v="0"/>
    <b v="0"/>
    <d v="2026-06-05T00:00:00"/>
    <n v="64.8"/>
    <n v="499999"/>
    <s v="Above ₹10,000"/>
    <s v="3.0–3.9"/>
    <x v="1"/>
  </r>
  <r>
    <s v="B0DZHMX6D3"/>
    <x v="315"/>
    <s v="Television"/>
    <n v="14990"/>
    <n v="20490"/>
    <n v="0.26800000000000002"/>
    <n v="4.2"/>
    <n v="360"/>
    <n v="1"/>
    <b v="0"/>
    <b v="0"/>
    <b v="0"/>
    <b v="0"/>
    <d v="2026-06-05T00:00:00"/>
    <n v="1512"/>
    <n v="14990"/>
    <s v="Above ₹10,000"/>
    <s v="4.0–4.4"/>
    <x v="2"/>
  </r>
  <r>
    <s v="B0GTL292WP"/>
    <x v="316"/>
    <s v="Television"/>
    <n v="71999"/>
    <n v="119999"/>
    <n v="0.4"/>
    <n v="4.2"/>
    <n v="50"/>
    <n v="1"/>
    <b v="0"/>
    <b v="0"/>
    <b v="0"/>
    <b v="0"/>
    <d v="2026-06-05T00:00:00"/>
    <n v="210"/>
    <n v="71999"/>
    <s v="Above ₹10,000"/>
    <s v="4.0–4.4"/>
    <x v="5"/>
  </r>
  <r>
    <s v="B0GTZ8M66Y"/>
    <x v="317"/>
    <s v="Television"/>
    <n v="39999"/>
    <n v="65990"/>
    <n v="0.39400000000000002"/>
    <n v="4"/>
    <n v="9025"/>
    <n v="1"/>
    <b v="0"/>
    <b v="0"/>
    <b v="0"/>
    <b v="0"/>
    <d v="2026-06-05T00:00:00"/>
    <n v="36100"/>
    <n v="39999"/>
    <s v="Above ₹10,000"/>
    <s v="4.0–4.4"/>
    <x v="5"/>
  </r>
  <r>
    <s v="B09Y66SYY2"/>
    <x v="318"/>
    <s v="Television"/>
    <n v="471990"/>
    <n v="691300"/>
    <n v="0.317"/>
    <m/>
    <n v="0"/>
    <n v="1"/>
    <b v="0"/>
    <b v="0"/>
    <b v="0"/>
    <b v="0"/>
    <d v="2026-06-05T00:00:00"/>
    <s v=""/>
    <n v="471990"/>
    <s v="Above ₹10,000"/>
    <s v="Not Rated"/>
    <x v="5"/>
  </r>
  <r>
    <s v="B0FG37BH6L"/>
    <x v="319"/>
    <s v="Television"/>
    <n v="47999"/>
    <n v="70000"/>
    <n v="0.314"/>
    <n v="4.3"/>
    <n v="620"/>
    <n v="1"/>
    <b v="0"/>
    <b v="0"/>
    <b v="0"/>
    <b v="0"/>
    <d v="2026-06-05T00:00:00"/>
    <n v="2666"/>
    <n v="47999"/>
    <s v="Above ₹10,000"/>
    <s v="4.0–4.4"/>
    <x v="5"/>
  </r>
  <r>
    <s v="B0FBM79V24"/>
    <x v="320"/>
    <s v="Television"/>
    <n v="10499"/>
    <n v="19990"/>
    <n v="0.47499999999999998"/>
    <n v="3.4"/>
    <n v="145"/>
    <n v="1"/>
    <b v="0"/>
    <b v="0"/>
    <b v="0"/>
    <b v="0"/>
    <d v="2026-06-05T00:00:00"/>
    <n v="493"/>
    <n v="10499"/>
    <s v="Above ₹10,000"/>
    <s v="3.0–3.9"/>
    <x v="5"/>
  </r>
  <r>
    <s v="B0F3JL3MSL"/>
    <x v="321"/>
    <s v="Television"/>
    <n v="229990"/>
    <n v="699990"/>
    <n v="0.67100000000000004"/>
    <n v="5"/>
    <n v="1"/>
    <n v="1"/>
    <b v="0"/>
    <b v="0"/>
    <b v="0"/>
    <b v="0"/>
    <d v="2026-06-05T00:00:00"/>
    <n v="5"/>
    <n v="229990"/>
    <s v="Above ₹10,000"/>
    <s v="4.5–5.0"/>
    <x v="3"/>
  </r>
  <r>
    <s v="B0FB35J4B6"/>
    <x v="322"/>
    <s v="Television"/>
    <m/>
    <m/>
    <m/>
    <n v="4"/>
    <n v="9025"/>
    <n v="1"/>
    <b v="0"/>
    <b v="0"/>
    <b v="0"/>
    <b v="0"/>
    <d v="2026-06-05T00:00:00"/>
    <n v="36100"/>
    <m/>
    <s v=" "/>
    <s v="4.0–4.4"/>
    <x v="1"/>
  </r>
  <r>
    <s v="B0DS18SHTL"/>
    <x v="323"/>
    <s v="Television"/>
    <n v="90499"/>
    <n v="119999"/>
    <n v="0.246"/>
    <n v="3.5"/>
    <n v="334"/>
    <n v="1"/>
    <b v="0"/>
    <b v="0"/>
    <b v="0"/>
    <b v="0"/>
    <d v="2026-06-05T00:00:00"/>
    <n v="1169"/>
    <n v="90499"/>
    <s v="Above ₹10,000"/>
    <s v="3.0–3.9"/>
    <x v="2"/>
  </r>
  <r>
    <s v="B0GY3TLT1X"/>
    <x v="324"/>
    <s v="Television"/>
    <n v="294490"/>
    <n v="499900"/>
    <n v="0.41099999999999998"/>
    <m/>
    <n v="0"/>
    <n v="1"/>
    <b v="0"/>
    <b v="0"/>
    <b v="0"/>
    <b v="0"/>
    <d v="2026-06-05T00:00:00"/>
    <s v=""/>
    <n v="294490"/>
    <s v="Above ₹10,000"/>
    <s v="Not Rated"/>
    <x v="5"/>
  </r>
  <r>
    <s v="B0F7X88XC1"/>
    <x v="325"/>
    <s v="Television"/>
    <n v="123990"/>
    <n v="239900"/>
    <n v="0.48299999999999998"/>
    <n v="4.5999999999999996"/>
    <n v="1351"/>
    <n v="1"/>
    <b v="0"/>
    <b v="0"/>
    <b v="0"/>
    <b v="0"/>
    <d v="2026-06-05T00:00:00"/>
    <n v="6214.5999999999995"/>
    <n v="123990"/>
    <s v="Above ₹10,000"/>
    <s v="4.5–5.0"/>
    <x v="5"/>
  </r>
  <r>
    <s v="B0GK9NHCL2"/>
    <x v="326"/>
    <s v="Television"/>
    <n v="40999"/>
    <n v="149999"/>
    <n v="0.72699999999999998"/>
    <n v="1"/>
    <n v="1"/>
    <n v="1"/>
    <b v="0"/>
    <b v="0"/>
    <b v="0"/>
    <b v="0"/>
    <d v="2026-06-05T00:00:00"/>
    <n v="1"/>
    <n v="40999"/>
    <s v="Above ₹10,000"/>
    <s v="Below 2.0"/>
    <x v="3"/>
  </r>
  <r>
    <s v="B09Y65HV6N"/>
    <x v="327"/>
    <s v="Television"/>
    <n v="471990"/>
    <n v="879900"/>
    <n v="0.46400000000000002"/>
    <n v="3.6"/>
    <n v="36"/>
    <n v="1"/>
    <b v="0"/>
    <b v="0"/>
    <b v="0"/>
    <b v="0"/>
    <d v="2026-06-05T00:00:00"/>
    <n v="129.6"/>
    <n v="471990"/>
    <s v="Above ₹10,000"/>
    <s v="3.0–3.9"/>
    <x v="5"/>
  </r>
  <r>
    <s v="B0FWK7W9L7"/>
    <x v="328"/>
    <s v="Television"/>
    <m/>
    <m/>
    <m/>
    <n v="4.5999999999999996"/>
    <n v="52"/>
    <n v="1"/>
    <b v="0"/>
    <b v="0"/>
    <b v="0"/>
    <b v="0"/>
    <d v="2026-06-05T00:00:00"/>
    <n v="239.2"/>
    <m/>
    <s v=" "/>
    <s v="4.5–5.0"/>
    <x v="1"/>
  </r>
  <r>
    <s v="B0F397D2S6"/>
    <x v="329"/>
    <s v="Television"/>
    <n v="32999"/>
    <n v="58999"/>
    <n v="0.441"/>
    <n v="4.2"/>
    <n v="1354"/>
    <n v="1"/>
    <b v="0"/>
    <b v="0"/>
    <b v="0"/>
    <b v="0"/>
    <d v="2026-06-05T00:00:00"/>
    <n v="5686.8"/>
    <n v="32999"/>
    <s v="Above ₹10,000"/>
    <s v="4.0–4.4"/>
    <x v="5"/>
  </r>
  <r>
    <s v="B0GKP162R2"/>
    <x v="330"/>
    <s v="Television"/>
    <n v="179990"/>
    <n v="399990"/>
    <n v="0.55000000000000004"/>
    <n v="1"/>
    <n v="1"/>
    <n v="1"/>
    <b v="0"/>
    <b v="0"/>
    <b v="0"/>
    <b v="0"/>
    <d v="2026-06-05T00:00:00"/>
    <n v="1"/>
    <n v="179990"/>
    <s v="Above ₹10,000"/>
    <s v="Below 2.0"/>
    <x v="3"/>
  </r>
  <r>
    <s v="B0G6FBF6P6"/>
    <x v="331"/>
    <s v="Television"/>
    <n v="15499"/>
    <n v="19990"/>
    <n v="0.22500000000000001"/>
    <n v="5"/>
    <n v="1"/>
    <n v="1"/>
    <b v="0"/>
    <b v="0"/>
    <b v="0"/>
    <b v="0"/>
    <d v="2026-06-05T00:00:00"/>
    <n v="5"/>
    <n v="15499"/>
    <s v="Above ₹10,000"/>
    <s v="4.5–5.0"/>
    <x v="2"/>
  </r>
  <r>
    <s v="B0GP77PM6B"/>
    <x v="332"/>
    <s v="Refrigerator"/>
    <n v="11490"/>
    <n v="16590"/>
    <n v="0.307"/>
    <n v="3.9"/>
    <n v="150"/>
    <n v="1"/>
    <b v="0"/>
    <b v="0"/>
    <b v="0"/>
    <b v="0"/>
    <d v="2026-06-05T00:00:00"/>
    <n v="585"/>
    <n v="11490"/>
    <s v="Above ₹10,000"/>
    <s v="3.0–3.9"/>
    <x v="5"/>
  </r>
  <r>
    <s v="B0GGQLB35C"/>
    <x v="333"/>
    <s v="Refrigerator"/>
    <n v="13640"/>
    <n v="17750"/>
    <n v="0.23200000000000001"/>
    <n v="3.8"/>
    <n v="104"/>
    <n v="1"/>
    <b v="0"/>
    <b v="0"/>
    <b v="0"/>
    <b v="0"/>
    <d v="2026-06-05T00:00:00"/>
    <n v="395.2"/>
    <n v="13640"/>
    <s v="Above ₹10,000"/>
    <s v="3.0–3.9"/>
    <x v="2"/>
  </r>
  <r>
    <s v="B0GXJ9LTJ1"/>
    <x v="334"/>
    <s v="Refrigerator"/>
    <n v="13190"/>
    <n v="17500"/>
    <n v="0.246"/>
    <n v="4.0999999999999996"/>
    <n v="6"/>
    <n v="1"/>
    <b v="0"/>
    <b v="0"/>
    <b v="0"/>
    <b v="0"/>
    <d v="2026-06-05T00:00:00"/>
    <n v="24.599999999999998"/>
    <n v="13190"/>
    <s v="Above ₹10,000"/>
    <s v="4.0–4.4"/>
    <x v="2"/>
  </r>
  <r>
    <s v="B0GSQ8N5LZ"/>
    <x v="335"/>
    <s v="Refrigerator"/>
    <n v="12710"/>
    <n v="27990"/>
    <n v="0.54600000000000004"/>
    <n v="4.2"/>
    <n v="178"/>
    <n v="1"/>
    <b v="0"/>
    <b v="0"/>
    <b v="0"/>
    <b v="0"/>
    <d v="2026-06-05T00:00:00"/>
    <n v="747.6"/>
    <n v="12710"/>
    <s v="Above ₹10,000"/>
    <s v="4.0–4.4"/>
    <x v="3"/>
  </r>
  <r>
    <s v="B0G8JTHH46"/>
    <x v="336"/>
    <s v="Refrigerator"/>
    <n v="18990"/>
    <n v="23999"/>
    <n v="0.20899999999999999"/>
    <n v="4.2"/>
    <n v="1120"/>
    <n v="1"/>
    <b v="0"/>
    <b v="0"/>
    <b v="1"/>
    <b v="0"/>
    <d v="2026-06-05T00:00:00"/>
    <n v="4704"/>
    <n v="18990"/>
    <s v="Above ₹10,000"/>
    <s v="4.0–4.4"/>
    <x v="2"/>
  </r>
  <r>
    <s v="B0G8J8SKTH"/>
    <x v="337"/>
    <s v="Refrigerator"/>
    <n v="18990"/>
    <n v="23999"/>
    <n v="0.20899999999999999"/>
    <n v="4.3"/>
    <n v="1803"/>
    <n v="1"/>
    <b v="0"/>
    <b v="0"/>
    <b v="0"/>
    <b v="0"/>
    <d v="2026-06-05T00:00:00"/>
    <n v="7752.9"/>
    <n v="18990"/>
    <s v="Above ₹10,000"/>
    <s v="4.0–4.4"/>
    <x v="2"/>
  </r>
  <r>
    <s v="B0GP6ZGNWT"/>
    <x v="338"/>
    <s v="Refrigerator"/>
    <n v="15990"/>
    <n v="25590"/>
    <n v="0.375"/>
    <n v="4"/>
    <n v="69"/>
    <n v="1"/>
    <b v="0"/>
    <b v="0"/>
    <b v="0"/>
    <b v="0"/>
    <d v="2026-06-05T00:00:00"/>
    <n v="276"/>
    <n v="15990"/>
    <s v="Above ₹10,000"/>
    <s v="4.0–4.4"/>
    <x v="5"/>
  </r>
  <r>
    <s v="B0GSFN886B"/>
    <x v="339"/>
    <s v="Refrigerator"/>
    <n v="15690"/>
    <n v="52190"/>
    <n v="0.69899999999999995"/>
    <n v="4.0999999999999996"/>
    <n v="295"/>
    <n v="1"/>
    <b v="0"/>
    <b v="0"/>
    <b v="0"/>
    <b v="0"/>
    <d v="2026-06-05T00:00:00"/>
    <n v="1209.5"/>
    <n v="15690"/>
    <s v="Above ₹10,000"/>
    <s v="4.0–4.4"/>
    <x v="3"/>
  </r>
  <r>
    <s v="B0G8JR8VNZ"/>
    <x v="340"/>
    <s v="Refrigerator"/>
    <n v="17590"/>
    <n v="21999"/>
    <n v="0.2"/>
    <n v="4.3"/>
    <n v="4470"/>
    <n v="1"/>
    <b v="0"/>
    <b v="0"/>
    <b v="0"/>
    <b v="0"/>
    <d v="2026-06-05T00:00:00"/>
    <n v="19221"/>
    <n v="17590"/>
    <s v="Above ₹10,000"/>
    <s v="4.0–4.4"/>
    <x v="2"/>
  </r>
  <r>
    <s v="B0GS5R57KY"/>
    <x v="341"/>
    <s v="Refrigerator"/>
    <n v="14490"/>
    <n v="22090"/>
    <n v="0.34399999999999997"/>
    <n v="3.6"/>
    <n v="44"/>
    <n v="1"/>
    <b v="0"/>
    <b v="0"/>
    <b v="0"/>
    <b v="0"/>
    <d v="2026-06-05T00:00:00"/>
    <n v="158.4"/>
    <n v="14490"/>
    <s v="Above ₹10,000"/>
    <s v="3.0–3.9"/>
    <x v="5"/>
  </r>
  <r>
    <s v="B0GP6PFXPS"/>
    <x v="342"/>
    <s v="Refrigerator"/>
    <n v="10490"/>
    <m/>
    <m/>
    <n v="3.9"/>
    <n v="451"/>
    <n v="2"/>
    <b v="0"/>
    <b v="0"/>
    <b v="0"/>
    <b v="0"/>
    <d v="2026-06-05T00:00:00"/>
    <n v="1758.8999999999999"/>
    <n v="10490"/>
    <s v="Above ₹10,000"/>
    <s v="3.0–3.9"/>
    <x v="1"/>
  </r>
  <r>
    <s v="B0G8JHZJJQ"/>
    <x v="343"/>
    <s v="Refrigerator"/>
    <n v="16790"/>
    <n v="20999"/>
    <n v="0.2"/>
    <n v="4.0999999999999996"/>
    <n v="436"/>
    <n v="1"/>
    <b v="0"/>
    <b v="0"/>
    <b v="0"/>
    <b v="0"/>
    <d v="2026-06-05T00:00:00"/>
    <n v="1787.6"/>
    <n v="16790"/>
    <s v="Above ₹10,000"/>
    <s v="4.0–4.4"/>
    <x v="2"/>
  </r>
  <r>
    <s v="B0DK9DSC82"/>
    <x v="344"/>
    <s v="Refrigerator"/>
    <n v="49990"/>
    <n v="84490"/>
    <n v="0.40799999999999997"/>
    <n v="4.0999999999999996"/>
    <n v="111"/>
    <n v="1"/>
    <b v="0"/>
    <b v="0"/>
    <b v="0"/>
    <b v="0"/>
    <d v="2026-06-05T00:00:00"/>
    <n v="455.09999999999997"/>
    <n v="49990"/>
    <s v="Above ₹10,000"/>
    <s v="4.0–4.4"/>
    <x v="5"/>
  </r>
  <r>
    <s v="B0G8JL17DP"/>
    <x v="345"/>
    <s v="Refrigerator"/>
    <n v="18990"/>
    <n v="23999"/>
    <n v="0.20899999999999999"/>
    <n v="4.4000000000000004"/>
    <n v="2342"/>
    <n v="1"/>
    <b v="0"/>
    <b v="0"/>
    <b v="0"/>
    <b v="0"/>
    <d v="2026-06-05T00:00:00"/>
    <n v="10304.800000000001"/>
    <n v="18990"/>
    <s v="Above ₹10,000"/>
    <s v="4.0–4.4"/>
    <x v="2"/>
  </r>
  <r>
    <s v="B0GP6PSRT2"/>
    <x v="346"/>
    <s v="Refrigerator"/>
    <n v="15990"/>
    <n v="25790"/>
    <n v="0.38"/>
    <n v="4"/>
    <n v="2525"/>
    <n v="1"/>
    <b v="0"/>
    <b v="0"/>
    <b v="0"/>
    <b v="0"/>
    <d v="2026-06-05T00:00:00"/>
    <n v="10100"/>
    <n v="15990"/>
    <s v="Above ₹10,000"/>
    <s v="4.0–4.4"/>
    <x v="5"/>
  </r>
  <r>
    <s v="B0D222PDZ3"/>
    <x v="347"/>
    <s v="Refrigerator"/>
    <n v="29390"/>
    <n v="36000"/>
    <n v="0.184"/>
    <n v="3.9"/>
    <n v="11824"/>
    <n v="2"/>
    <b v="0"/>
    <b v="0"/>
    <b v="0"/>
    <b v="0"/>
    <d v="2026-06-05T00:00:00"/>
    <n v="46113.599999999999"/>
    <n v="29390"/>
    <s v="Above ₹10,000"/>
    <s v="3.0–3.9"/>
    <x v="4"/>
  </r>
  <r>
    <s v="B0GS1X1ZVD"/>
    <x v="348"/>
    <s v="Refrigerator"/>
    <n v="17190"/>
    <n v="27290"/>
    <n v="0.37"/>
    <n v="4.0999999999999996"/>
    <n v="707"/>
    <n v="1"/>
    <b v="0"/>
    <b v="0"/>
    <b v="0"/>
    <b v="0"/>
    <d v="2026-06-05T00:00:00"/>
    <n v="2898.7"/>
    <n v="17190"/>
    <s v="Above ₹10,000"/>
    <s v="4.0–4.4"/>
    <x v="5"/>
  </r>
  <r>
    <s v="B0GGQR1722"/>
    <x v="349"/>
    <s v="Refrigerator"/>
    <n v="17590"/>
    <n v="21750"/>
    <n v="0.191"/>
    <n v="3.9"/>
    <n v="50"/>
    <n v="1"/>
    <b v="0"/>
    <b v="0"/>
    <b v="0"/>
    <b v="0"/>
    <d v="2026-06-05T00:00:00"/>
    <n v="195"/>
    <n v="17590"/>
    <s v="Above ₹10,000"/>
    <s v="3.0–3.9"/>
    <x v="4"/>
  </r>
  <r>
    <s v="B0CW5WNPTM"/>
    <x v="350"/>
    <s v="Refrigerator"/>
    <n v="11990"/>
    <m/>
    <m/>
    <n v="4.3"/>
    <n v="957"/>
    <n v="1"/>
    <b v="0"/>
    <b v="0"/>
    <b v="0"/>
    <b v="0"/>
    <d v="2026-06-05T00:00:00"/>
    <n v="4115.0999999999995"/>
    <n v="11990"/>
    <s v="Above ₹10,000"/>
    <s v="4.0–4.4"/>
    <x v="1"/>
  </r>
  <r>
    <s v="B0GW2Q1JV7"/>
    <x v="351"/>
    <s v="Refrigerator"/>
    <n v="20790"/>
    <n v="29300"/>
    <n v="0.28999999999999998"/>
    <n v="4.2"/>
    <n v="478"/>
    <n v="1"/>
    <b v="0"/>
    <b v="0"/>
    <b v="0"/>
    <b v="0"/>
    <d v="2026-06-05T00:00:00"/>
    <n v="2007.6000000000001"/>
    <n v="20790"/>
    <s v="Above ₹10,000"/>
    <s v="4.0–4.4"/>
    <x v="2"/>
  </r>
  <r>
    <s v="B0GGPD93C1"/>
    <x v="352"/>
    <s v="Refrigerator"/>
    <n v="17950"/>
    <n v="21050"/>
    <n v="0.14699999999999999"/>
    <n v="4"/>
    <n v="2191"/>
    <n v="1"/>
    <b v="0"/>
    <b v="0"/>
    <b v="0"/>
    <b v="0"/>
    <d v="2026-06-05T00:00:00"/>
    <n v="8764"/>
    <n v="17950"/>
    <s v="Above ₹10,000"/>
    <s v="4.0–4.4"/>
    <x v="4"/>
  </r>
  <r>
    <s v="B0GRCY68XY"/>
    <x v="353"/>
    <s v="Refrigerator"/>
    <n v="16990"/>
    <n v="24490"/>
    <n v="0.30599999999999999"/>
    <n v="3.8"/>
    <n v="290"/>
    <n v="1"/>
    <b v="0"/>
    <b v="0"/>
    <b v="0"/>
    <b v="0"/>
    <d v="2026-06-05T00:00:00"/>
    <n v="1102"/>
    <n v="16990"/>
    <s v="Above ₹10,000"/>
    <s v="3.0–3.9"/>
    <x v="5"/>
  </r>
  <r>
    <s v="B0GWF11XZW"/>
    <x v="354"/>
    <s v="Refrigerator"/>
    <n v="17690"/>
    <n v="24500"/>
    <n v="0.27800000000000002"/>
    <m/>
    <n v="0"/>
    <n v="1"/>
    <b v="0"/>
    <b v="0"/>
    <b v="0"/>
    <b v="0"/>
    <d v="2026-06-05T00:00:00"/>
    <s v=""/>
    <n v="17690"/>
    <s v="Above ₹10,000"/>
    <s v="Not Rated"/>
    <x v="2"/>
  </r>
  <r>
    <s v="B0G8JZHV2S"/>
    <x v="355"/>
    <s v="Refrigerator"/>
    <n v="43990"/>
    <n v="51999"/>
    <n v="0.154"/>
    <n v="4"/>
    <n v="34"/>
    <n v="1"/>
    <b v="0"/>
    <b v="0"/>
    <b v="0"/>
    <b v="0"/>
    <d v="2026-06-05T00:00:00"/>
    <n v="136"/>
    <n v="43990"/>
    <s v="Above ₹10,000"/>
    <s v="4.0–4.4"/>
    <x v="4"/>
  </r>
  <r>
    <s v="B0G8JRG8LT"/>
    <x v="356"/>
    <s v="Refrigerator"/>
    <n v="28990"/>
    <n v="35999"/>
    <n v="0.19500000000000001"/>
    <n v="3.7"/>
    <n v="137"/>
    <n v="1"/>
    <b v="0"/>
    <b v="0"/>
    <b v="0"/>
    <b v="0"/>
    <d v="2026-06-05T00:00:00"/>
    <n v="506.90000000000003"/>
    <n v="28990"/>
    <s v="Above ₹10,000"/>
    <s v="3.0–3.9"/>
    <x v="4"/>
  </r>
  <r>
    <s v="B0G8JXNCB1"/>
    <x v="357"/>
    <s v="Refrigerator"/>
    <n v="16890"/>
    <m/>
    <m/>
    <n v="4.0999999999999996"/>
    <n v="658"/>
    <n v="1"/>
    <b v="0"/>
    <b v="0"/>
    <b v="0"/>
    <b v="0"/>
    <d v="2026-06-05T00:00:00"/>
    <n v="2697.7999999999997"/>
    <n v="16890"/>
    <s v="Above ₹10,000"/>
    <s v="4.0–4.4"/>
    <x v="1"/>
  </r>
  <r>
    <s v="B0GW2YHFCX"/>
    <x v="358"/>
    <s v="Refrigerator"/>
    <n v="17990"/>
    <n v="24700"/>
    <n v="0.27200000000000002"/>
    <n v="4.2"/>
    <n v="1372"/>
    <n v="1"/>
    <b v="0"/>
    <b v="0"/>
    <b v="0"/>
    <b v="0"/>
    <d v="2026-06-05T00:00:00"/>
    <n v="5762.4000000000005"/>
    <n v="17990"/>
    <s v="Above ₹10,000"/>
    <s v="4.0–4.4"/>
    <x v="2"/>
  </r>
  <r>
    <s v="B0GK7YXSK1"/>
    <x v="359"/>
    <s v="Refrigerator"/>
    <n v="22740"/>
    <m/>
    <m/>
    <n v="4"/>
    <n v="91"/>
    <n v="2"/>
    <b v="0"/>
    <b v="0"/>
    <b v="0"/>
    <b v="0"/>
    <d v="2026-06-05T00:00:00"/>
    <n v="364"/>
    <n v="22740"/>
    <s v="Above ₹10,000"/>
    <s v="4.0–4.4"/>
    <x v="1"/>
  </r>
  <r>
    <s v="B0GL7M6KT4"/>
    <x v="360"/>
    <s v="Refrigerator"/>
    <n v="11990"/>
    <n v="12990"/>
    <n v="7.6999999999999999E-2"/>
    <n v="4.4000000000000004"/>
    <n v="13"/>
    <n v="1"/>
    <b v="0"/>
    <b v="0"/>
    <b v="0"/>
    <b v="0"/>
    <d v="2026-06-05T00:00:00"/>
    <n v="57.2"/>
    <n v="11990"/>
    <s v="Above ₹10,000"/>
    <s v="4.0–4.4"/>
    <x v="0"/>
  </r>
  <r>
    <s v="B0GRW157R2"/>
    <x v="361"/>
    <s v="Refrigerator"/>
    <n v="18490"/>
    <n v="26290"/>
    <n v="0.29699999999999999"/>
    <n v="3.7"/>
    <n v="13"/>
    <n v="1"/>
    <b v="0"/>
    <b v="0"/>
    <b v="0"/>
    <b v="0"/>
    <d v="2026-06-05T00:00:00"/>
    <n v="48.1"/>
    <n v="18490"/>
    <s v="Above ₹10,000"/>
    <s v="3.0–3.9"/>
    <x v="2"/>
  </r>
  <r>
    <s v="B0GP6T4T83"/>
    <x v="362"/>
    <s v="Refrigerator"/>
    <n v="23090"/>
    <n v="35890"/>
    <n v="0.35699999999999998"/>
    <n v="3.2"/>
    <n v="37"/>
    <n v="1"/>
    <b v="0"/>
    <b v="0"/>
    <b v="0"/>
    <b v="0"/>
    <d v="2026-06-05T00:00:00"/>
    <n v="118.4"/>
    <n v="23090"/>
    <s v="Above ₹10,000"/>
    <s v="3.0–3.9"/>
    <x v="5"/>
  </r>
  <r>
    <s v="B0G8JSRB87"/>
    <x v="363"/>
    <s v="Refrigerator"/>
    <n v="18990"/>
    <n v="23999"/>
    <n v="0.20899999999999999"/>
    <n v="4.2"/>
    <n v="1120"/>
    <n v="1"/>
    <b v="0"/>
    <b v="0"/>
    <b v="0"/>
    <b v="0"/>
    <d v="2026-06-05T00:00:00"/>
    <n v="4704"/>
    <n v="18990"/>
    <s v="Above ₹10,000"/>
    <s v="4.0–4.4"/>
    <x v="2"/>
  </r>
  <r>
    <s v="B0GPCZBHPH"/>
    <x v="364"/>
    <s v="Refrigerator"/>
    <n v="25990"/>
    <n v="36990"/>
    <n v="0.29699999999999999"/>
    <n v="3.9"/>
    <n v="26"/>
    <n v="1"/>
    <b v="0"/>
    <b v="0"/>
    <b v="0"/>
    <b v="0"/>
    <d v="2026-06-05T00:00:00"/>
    <n v="101.39999999999999"/>
    <n v="25990"/>
    <s v="Above ₹10,000"/>
    <s v="3.0–3.9"/>
    <x v="2"/>
  </r>
  <r>
    <s v="B0GL2M7N7Z"/>
    <x v="365"/>
    <s v="Refrigerator"/>
    <n v="16990"/>
    <n v="26490"/>
    <n v="0.35899999999999999"/>
    <n v="4.0999999999999996"/>
    <n v="2290"/>
    <n v="1"/>
    <b v="0"/>
    <b v="0"/>
    <b v="0"/>
    <b v="0"/>
    <d v="2026-06-05T00:00:00"/>
    <n v="9389"/>
    <n v="16990"/>
    <s v="Above ₹10,000"/>
    <s v="4.0–4.4"/>
    <x v="5"/>
  </r>
  <r>
    <s v="B092QNXXNH"/>
    <x v="366"/>
    <s v="Refrigerator"/>
    <n v="134890"/>
    <n v="149990"/>
    <n v="0.10100000000000001"/>
    <n v="3.6"/>
    <n v="13"/>
    <n v="1"/>
    <b v="0"/>
    <b v="0"/>
    <b v="0"/>
    <b v="0"/>
    <d v="2026-06-05T00:00:00"/>
    <n v="46.800000000000004"/>
    <n v="134890"/>
    <s v="Above ₹10,000"/>
    <s v="3.0–3.9"/>
    <x v="4"/>
  </r>
  <r>
    <s v="B0F4WVW7D9"/>
    <x v="367"/>
    <s v="Refrigerator"/>
    <n v="44999"/>
    <n v="110990"/>
    <n v="0.59499999999999997"/>
    <n v="4.0999999999999996"/>
    <n v="415"/>
    <n v="1"/>
    <b v="0"/>
    <b v="0"/>
    <b v="0"/>
    <b v="0"/>
    <d v="2026-06-05T00:00:00"/>
    <n v="1701.4999999999998"/>
    <n v="44999"/>
    <s v="Above ₹10,000"/>
    <s v="4.0–4.4"/>
    <x v="3"/>
  </r>
  <r>
    <s v="B0GXJKFPSF"/>
    <x v="368"/>
    <s v="Refrigerator"/>
    <n v="15690"/>
    <n v="24490"/>
    <n v="0.35899999999999999"/>
    <n v="5"/>
    <n v="1"/>
    <n v="1"/>
    <b v="0"/>
    <b v="0"/>
    <b v="0"/>
    <b v="0"/>
    <d v="2026-06-05T00:00:00"/>
    <n v="5"/>
    <n v="15690"/>
    <s v="Above ₹10,000"/>
    <s v="4.5–5.0"/>
    <x v="5"/>
  </r>
  <r>
    <s v="B0G8JJD3CM"/>
    <x v="369"/>
    <s v="Refrigerator"/>
    <n v="20490"/>
    <n v="25999"/>
    <n v="0.21199999999999999"/>
    <n v="3.7"/>
    <n v="30"/>
    <n v="1"/>
    <b v="0"/>
    <b v="0"/>
    <b v="0"/>
    <b v="0"/>
    <d v="2026-06-05T00:00:00"/>
    <n v="111"/>
    <n v="20490"/>
    <s v="Above ₹10,000"/>
    <s v="3.0–3.9"/>
    <x v="2"/>
  </r>
  <r>
    <s v="B0DFCVM72W"/>
    <x v="370"/>
    <s v="Refrigerator"/>
    <n v="45099"/>
    <m/>
    <m/>
    <n v="4.0999999999999996"/>
    <n v="1193"/>
    <n v="3"/>
    <b v="0"/>
    <b v="0"/>
    <b v="0"/>
    <b v="0"/>
    <d v="2026-06-05T00:00:00"/>
    <n v="4891.2999999999993"/>
    <n v="45099"/>
    <s v="Above ₹10,000"/>
    <s v="4.0–4.4"/>
    <x v="1"/>
  </r>
  <r>
    <s v="B0G4S5HZ9R"/>
    <x v="371"/>
    <s v="Refrigerator"/>
    <n v="9490"/>
    <n v="10500"/>
    <n v="9.6000000000000002E-2"/>
    <n v="4.0999999999999996"/>
    <n v="136"/>
    <n v="1"/>
    <b v="0"/>
    <b v="0"/>
    <b v="0"/>
    <b v="0"/>
    <d v="2026-06-05T00:00:00"/>
    <n v="557.59999999999991"/>
    <n v="9490"/>
    <s v="₹5,000–₹10,000"/>
    <s v="4.0–4.4"/>
    <x v="0"/>
  </r>
  <r>
    <s v="B0G8JRCJ3N"/>
    <x v="372"/>
    <s v="Refrigerator"/>
    <n v="36990"/>
    <n v="44999"/>
    <n v="0.17799999999999999"/>
    <n v="4.2"/>
    <n v="288"/>
    <n v="1"/>
    <b v="0"/>
    <b v="0"/>
    <b v="0"/>
    <b v="0"/>
    <d v="2026-06-05T00:00:00"/>
    <n v="1209.6000000000001"/>
    <n v="36990"/>
    <s v="Above ₹10,000"/>
    <s v="4.0–4.4"/>
    <x v="4"/>
  </r>
  <r>
    <s v="B0GW8PT5TC"/>
    <x v="373"/>
    <s v="Refrigerator"/>
    <n v="32990"/>
    <n v="46990"/>
    <n v="0.29799999999999999"/>
    <m/>
    <n v="0"/>
    <n v="1"/>
    <b v="0"/>
    <b v="0"/>
    <b v="0"/>
    <b v="0"/>
    <d v="2026-06-05T00:00:00"/>
    <s v=""/>
    <n v="32990"/>
    <s v="Above ₹10,000"/>
    <s v="Not Rated"/>
    <x v="2"/>
  </r>
  <r>
    <s v="B093Q1SLL4"/>
    <x v="374"/>
    <s v="Refrigerator"/>
    <n v="67990"/>
    <n v="87990"/>
    <n v="0.22700000000000001"/>
    <n v="4.0999999999999996"/>
    <n v="675"/>
    <n v="1"/>
    <b v="0"/>
    <b v="0"/>
    <b v="0"/>
    <b v="0"/>
    <d v="2026-06-05T00:00:00"/>
    <n v="2767.4999999999995"/>
    <n v="67990"/>
    <s v="Above ₹10,000"/>
    <s v="4.0–4.4"/>
    <x v="2"/>
  </r>
  <r>
    <s v="B0GK87BDTR"/>
    <x v="375"/>
    <s v="Refrigerator"/>
    <n v="23890"/>
    <n v="23990"/>
    <n v="4.0000000000000001E-3"/>
    <n v="3.5"/>
    <n v="38"/>
    <n v="1"/>
    <b v="0"/>
    <b v="0"/>
    <b v="0"/>
    <b v="0"/>
    <d v="2026-06-05T00:00:00"/>
    <n v="133"/>
    <n v="23890"/>
    <s v="Above ₹10,000"/>
    <s v="3.0–3.9"/>
    <x v="0"/>
  </r>
  <r>
    <s v="B0GP6YPGPC"/>
    <x v="376"/>
    <s v="Refrigerator"/>
    <n v="37890"/>
    <n v="59690"/>
    <n v="0.36499999999999999"/>
    <n v="4"/>
    <n v="1921"/>
    <n v="1"/>
    <b v="0"/>
    <b v="0"/>
    <b v="0"/>
    <b v="0"/>
    <d v="2026-06-05T00:00:00"/>
    <n v="7684"/>
    <n v="37890"/>
    <s v="Above ₹10,000"/>
    <s v="4.0–4.4"/>
    <x v="5"/>
  </r>
  <r>
    <s v="B0CCJQ6449"/>
    <x v="377"/>
    <s v="Refrigerator"/>
    <n v="18990"/>
    <m/>
    <m/>
    <n v="4.0999999999999996"/>
    <n v="110"/>
    <n v="1"/>
    <b v="0"/>
    <b v="0"/>
    <b v="0"/>
    <b v="0"/>
    <d v="2026-06-05T00:00:00"/>
    <n v="450.99999999999994"/>
    <n v="18990"/>
    <s v="Above ₹10,000"/>
    <s v="4.0–4.4"/>
    <x v="1"/>
  </r>
  <r>
    <s v="B0GMQBMGGN"/>
    <x v="378"/>
    <s v="Refrigerator"/>
    <n v="41490"/>
    <n v="56490"/>
    <n v="0.26600000000000001"/>
    <n v="2.5"/>
    <n v="7"/>
    <n v="1"/>
    <b v="0"/>
    <b v="0"/>
    <b v="0"/>
    <b v="0"/>
    <d v="2026-06-05T00:00:00"/>
    <n v="17.5"/>
    <n v="41490"/>
    <s v="Above ₹10,000"/>
    <s v="2.0–2.9"/>
    <x v="2"/>
  </r>
  <r>
    <s v="B09CDRVKDP"/>
    <x v="379"/>
    <s v="Refrigerator"/>
    <n v="85990"/>
    <n v="108990"/>
    <n v="0.21099999999999999"/>
    <n v="4.0999999999999996"/>
    <n v="28"/>
    <n v="1"/>
    <b v="0"/>
    <b v="0"/>
    <b v="0"/>
    <b v="0"/>
    <d v="2026-06-05T00:00:00"/>
    <n v="114.79999999999998"/>
    <n v="85990"/>
    <s v="Above ₹10,000"/>
    <s v="4.0–4.4"/>
    <x v="2"/>
  </r>
  <r>
    <s v="B0DV43D663"/>
    <x v="380"/>
    <s v="Washing Machine"/>
    <n v="7490"/>
    <n v="18999"/>
    <n v="0.60599999999999998"/>
    <n v="4.2"/>
    <n v="1722"/>
    <n v="1"/>
    <b v="0"/>
    <b v="0"/>
    <b v="0"/>
    <b v="0"/>
    <d v="2026-06-05T00:00:00"/>
    <n v="7232.4000000000005"/>
    <n v="7490"/>
    <s v="₹5,000–₹10,000"/>
    <s v="4.0–4.4"/>
    <x v="3"/>
  </r>
  <r>
    <s v="B0CC8P3J3L"/>
    <x v="381"/>
    <s v="Washing Machine"/>
    <n v="13790"/>
    <n v="18490"/>
    <n v="0.254"/>
    <n v="4.3"/>
    <n v="2069"/>
    <n v="1"/>
    <b v="0"/>
    <b v="0"/>
    <b v="1"/>
    <b v="0"/>
    <d v="2026-06-05T00:00:00"/>
    <n v="8896.6999999999989"/>
    <n v="13790"/>
    <s v="Above ₹10,000"/>
    <s v="4.0–4.4"/>
    <x v="2"/>
  </r>
  <r>
    <s v="B0GVRK9Y7Y"/>
    <x v="382"/>
    <s v="Washing Machine"/>
    <n v="20490"/>
    <n v="44990"/>
    <n v="0.54500000000000004"/>
    <n v="5"/>
    <n v="2"/>
    <n v="1"/>
    <b v="0"/>
    <b v="0"/>
    <b v="0"/>
    <b v="0"/>
    <d v="2026-06-05T00:00:00"/>
    <n v="10"/>
    <n v="20490"/>
    <s v="Above ₹10,000"/>
    <s v="4.5–5.0"/>
    <x v="3"/>
  </r>
  <r>
    <s v="B0DSBRDRDV"/>
    <x v="383"/>
    <s v="Washing Machine"/>
    <n v="16740"/>
    <n v="19550"/>
    <n v="0.14399999999999999"/>
    <n v="4"/>
    <n v="13937"/>
    <n v="1"/>
    <b v="0"/>
    <b v="0"/>
    <b v="0"/>
    <b v="0"/>
    <d v="2026-06-05T00:00:00"/>
    <n v="55748"/>
    <n v="16740"/>
    <s v="Above ₹10,000"/>
    <s v="4.0–4.4"/>
    <x v="4"/>
  </r>
  <r>
    <s v="B09DD573SY"/>
    <x v="384"/>
    <s v="Washing Machine"/>
    <n v="11990"/>
    <n v="16090"/>
    <n v="0.255"/>
    <n v="4.4000000000000004"/>
    <n v="8258"/>
    <n v="1"/>
    <b v="0"/>
    <b v="0"/>
    <b v="0"/>
    <b v="0"/>
    <d v="2026-06-05T00:00:00"/>
    <n v="36335.200000000004"/>
    <n v="11990"/>
    <s v="Above ₹10,000"/>
    <s v="4.0–4.4"/>
    <x v="2"/>
  </r>
  <r>
    <s v="B09T6NX8W2"/>
    <x v="385"/>
    <s v="Washing Machine"/>
    <n v="9990"/>
    <n v="12500"/>
    <n v="0.20100000000000001"/>
    <n v="3.9"/>
    <n v="1653"/>
    <n v="1"/>
    <b v="0"/>
    <b v="0"/>
    <b v="0"/>
    <b v="0"/>
    <d v="2026-06-05T00:00:00"/>
    <n v="6446.7"/>
    <n v="9990"/>
    <s v="₹5,000–₹10,000"/>
    <s v="3.0–3.9"/>
    <x v="2"/>
  </r>
  <r>
    <s v="B0CW93ZCB6"/>
    <x v="386"/>
    <s v="Washing Machine"/>
    <n v="8590"/>
    <n v="12500"/>
    <n v="0.313"/>
    <n v="4"/>
    <n v="768"/>
    <n v="1"/>
    <b v="0"/>
    <b v="0"/>
    <b v="0"/>
    <b v="0"/>
    <d v="2026-06-05T00:00:00"/>
    <n v="3072"/>
    <n v="8590"/>
    <s v="₹5,000–₹10,000"/>
    <s v="4.0–4.4"/>
    <x v="5"/>
  </r>
  <r>
    <s v="B0GTML5HR7"/>
    <x v="387"/>
    <s v="Washing Machine"/>
    <n v="11790"/>
    <n v="19990"/>
    <n v="0.41"/>
    <n v="4.5"/>
    <n v="2"/>
    <n v="1"/>
    <b v="0"/>
    <b v="0"/>
    <b v="0"/>
    <b v="0"/>
    <d v="2026-06-05T00:00:00"/>
    <n v="9"/>
    <n v="11790"/>
    <s v="Above ₹10,000"/>
    <s v="4.5–5.0"/>
    <x v="5"/>
  </r>
  <r>
    <s v="B0B8NHX62W"/>
    <x v="388"/>
    <s v="Washing Machine"/>
    <n v="18690"/>
    <n v="22500"/>
    <n v="0.16900000000000001"/>
    <n v="4.0999999999999996"/>
    <n v="5698"/>
    <n v="1"/>
    <b v="0"/>
    <b v="0"/>
    <b v="0"/>
    <b v="0"/>
    <d v="2026-06-05T00:00:00"/>
    <n v="23361.8"/>
    <n v="18690"/>
    <s v="Above ₹10,000"/>
    <s v="4.0–4.4"/>
    <x v="4"/>
  </r>
  <r>
    <s v="B0FHPZLTDL"/>
    <x v="389"/>
    <s v="Washing Machine"/>
    <n v="18640"/>
    <n v="23250"/>
    <n v="0.19800000000000001"/>
    <n v="4"/>
    <n v="13248"/>
    <n v="1"/>
    <b v="0"/>
    <b v="0"/>
    <b v="0"/>
    <b v="0"/>
    <d v="2026-06-05T00:00:00"/>
    <n v="52992"/>
    <n v="18640"/>
    <s v="Above ₹10,000"/>
    <s v="4.0–4.4"/>
    <x v="4"/>
  </r>
  <r>
    <s v="B0BD8ZPFJQ"/>
    <x v="390"/>
    <s v="Washing Machine"/>
    <n v="15490"/>
    <n v="19990"/>
    <n v="0.22500000000000001"/>
    <n v="4.3"/>
    <n v="1601"/>
    <n v="1"/>
    <b v="0"/>
    <b v="0"/>
    <b v="0"/>
    <b v="0"/>
    <d v="2026-06-05T00:00:00"/>
    <n v="6884.2999999999993"/>
    <n v="15490"/>
    <s v="Above ₹10,000"/>
    <s v="4.0–4.4"/>
    <x v="2"/>
  </r>
  <r>
    <s v="B0C8BDB9WZ"/>
    <x v="391"/>
    <s v="Washing Machine"/>
    <n v="9890"/>
    <n v="15500"/>
    <n v="0.36199999999999999"/>
    <n v="4.0999999999999996"/>
    <n v="950"/>
    <n v="1"/>
    <b v="0"/>
    <b v="0"/>
    <b v="0"/>
    <b v="0"/>
    <d v="2026-06-05T00:00:00"/>
    <n v="3894.9999999999995"/>
    <n v="9890"/>
    <s v="₹5,000–₹10,000"/>
    <s v="4.0–4.4"/>
    <x v="5"/>
  </r>
  <r>
    <s v="B0DPHT2HZL"/>
    <x v="392"/>
    <s v="Washing Machine"/>
    <n v="19990"/>
    <m/>
    <m/>
    <n v="4.2"/>
    <n v="2271"/>
    <n v="1"/>
    <b v="0"/>
    <b v="0"/>
    <b v="0"/>
    <b v="0"/>
    <d v="2026-06-05T00:00:00"/>
    <n v="9538.2000000000007"/>
    <n v="19990"/>
    <s v="Above ₹10,000"/>
    <s v="4.0–4.4"/>
    <x v="1"/>
  </r>
  <r>
    <s v="B0GRGB5XSK"/>
    <x v="393"/>
    <s v="Washing Machine"/>
    <n v="23990"/>
    <n v="30990"/>
    <n v="0.22600000000000001"/>
    <n v="4.4000000000000004"/>
    <n v="25177"/>
    <n v="1"/>
    <b v="0"/>
    <b v="0"/>
    <b v="0"/>
    <b v="0"/>
    <d v="2026-06-05T00:00:00"/>
    <n v="110778.8"/>
    <n v="23990"/>
    <s v="Above ₹10,000"/>
    <s v="4.0–4.4"/>
    <x v="2"/>
  </r>
  <r>
    <s v="B09T6NH99B"/>
    <x v="394"/>
    <s v="Washing Machine"/>
    <n v="11490"/>
    <n v="14150"/>
    <n v="0.188"/>
    <n v="4.3"/>
    <n v="7194"/>
    <n v="1"/>
    <b v="0"/>
    <b v="0"/>
    <b v="0"/>
    <b v="0"/>
    <d v="2026-06-05T00:00:00"/>
    <n v="30934.199999999997"/>
    <n v="11490"/>
    <s v="Above ₹10,000"/>
    <s v="4.0–4.4"/>
    <x v="4"/>
  </r>
  <r>
    <s v="B0B8NK5HTH"/>
    <x v="395"/>
    <s v="Washing Machine"/>
    <n v="20690"/>
    <n v="27000"/>
    <n v="0.23400000000000001"/>
    <n v="4"/>
    <n v="4639"/>
    <n v="1"/>
    <b v="0"/>
    <b v="0"/>
    <b v="0"/>
    <b v="0"/>
    <d v="2026-06-05T00:00:00"/>
    <n v="18556"/>
    <n v="20690"/>
    <s v="Above ₹10,000"/>
    <s v="4.0–4.4"/>
    <x v="2"/>
  </r>
  <r>
    <s v="B0D8L9RCK7"/>
    <x v="396"/>
    <s v="Washing Machine"/>
    <n v="19490"/>
    <n v="25290"/>
    <n v="0.22900000000000001"/>
    <n v="4"/>
    <n v="2324"/>
    <n v="1"/>
    <b v="0"/>
    <b v="0"/>
    <b v="0"/>
    <b v="0"/>
    <d v="2026-06-05T00:00:00"/>
    <n v="9296"/>
    <n v="19490"/>
    <s v="Above ₹10,000"/>
    <s v="4.0–4.4"/>
    <x v="2"/>
  </r>
  <r>
    <s v="B0F4QQVV1L"/>
    <x v="397"/>
    <s v="Washing Machine"/>
    <n v="27490"/>
    <n v="42490"/>
    <n v="0.35299999999999998"/>
    <n v="4.3"/>
    <n v="655"/>
    <n v="1"/>
    <b v="0"/>
    <b v="0"/>
    <b v="0"/>
    <b v="0"/>
    <d v="2026-06-05T00:00:00"/>
    <n v="2816.5"/>
    <n v="27490"/>
    <s v="Above ₹10,000"/>
    <s v="4.0–4.4"/>
    <x v="5"/>
  </r>
  <r>
    <s v="B0DXQ5MQCF"/>
    <x v="398"/>
    <s v="Washing Machine"/>
    <n v="7590"/>
    <n v="18990"/>
    <n v="0.6"/>
    <n v="4.4000000000000004"/>
    <n v="215"/>
    <n v="1"/>
    <b v="0"/>
    <b v="0"/>
    <b v="0"/>
    <b v="0"/>
    <d v="2026-06-05T00:00:00"/>
    <n v="946.00000000000011"/>
    <n v="7590"/>
    <s v="₹5,000–₹10,000"/>
    <s v="4.0–4.4"/>
    <x v="3"/>
  </r>
  <r>
    <s v="B0DGLLG6FR"/>
    <x v="399"/>
    <s v="Washing Machine"/>
    <n v="10990"/>
    <n v="13550"/>
    <n v="0.189"/>
    <n v="4.3"/>
    <n v="12638"/>
    <n v="1"/>
    <b v="0"/>
    <b v="0"/>
    <b v="0"/>
    <b v="0"/>
    <d v="2026-06-05T00:00:00"/>
    <n v="54343.399999999994"/>
    <n v="10990"/>
    <s v="Above ₹10,000"/>
    <s v="4.0–4.4"/>
    <x v="4"/>
  </r>
  <r>
    <s v="B0G4H669DY"/>
    <x v="400"/>
    <s v="Washing Machine"/>
    <n v="10990"/>
    <n v="34999"/>
    <n v="0.68600000000000005"/>
    <n v="3.8"/>
    <n v="91"/>
    <n v="1"/>
    <b v="0"/>
    <b v="0"/>
    <b v="0"/>
    <b v="0"/>
    <d v="2026-06-05T00:00:00"/>
    <n v="345.8"/>
    <n v="10990"/>
    <s v="Above ₹10,000"/>
    <s v="3.0–3.9"/>
    <x v="3"/>
  </r>
  <r>
    <s v="B0GCNSBMR3"/>
    <x v="401"/>
    <s v="Washing Machine"/>
    <n v="17990"/>
    <n v="24490"/>
    <n v="0.26500000000000001"/>
    <n v="4.2"/>
    <n v="2129"/>
    <n v="1"/>
    <b v="0"/>
    <b v="0"/>
    <b v="0"/>
    <b v="0"/>
    <d v="2026-06-05T00:00:00"/>
    <n v="8941.8000000000011"/>
    <n v="17990"/>
    <s v="Above ₹10,000"/>
    <s v="4.0–4.4"/>
    <x v="2"/>
  </r>
  <r>
    <s v="B0C3LHV43S"/>
    <x v="402"/>
    <s v="Washing Machine"/>
    <n v="41990"/>
    <n v="53990"/>
    <n v="0.222"/>
    <n v="4.3"/>
    <n v="1961"/>
    <n v="1"/>
    <b v="0"/>
    <b v="0"/>
    <b v="0"/>
    <b v="0"/>
    <d v="2026-06-05T00:00:00"/>
    <n v="8432.2999999999993"/>
    <n v="41990"/>
    <s v="Above ₹10,000"/>
    <s v="4.0–4.4"/>
    <x v="2"/>
  </r>
  <r>
    <s v="B0CW3K1TZL"/>
    <x v="403"/>
    <s v="Washing Machine"/>
    <n v="12990"/>
    <n v="23990"/>
    <n v="0.45900000000000002"/>
    <n v="4"/>
    <n v="434"/>
    <n v="1"/>
    <b v="0"/>
    <b v="0"/>
    <b v="0"/>
    <b v="0"/>
    <d v="2026-06-05T00:00:00"/>
    <n v="1736"/>
    <n v="12990"/>
    <s v="Above ₹10,000"/>
    <s v="4.0–4.4"/>
    <x v="5"/>
  </r>
  <r>
    <s v="B0F4K415FW"/>
    <x v="404"/>
    <s v="Washing Machine"/>
    <n v="29990"/>
    <n v="48190"/>
    <n v="0.378"/>
    <n v="4.2"/>
    <n v="2364"/>
    <n v="1"/>
    <b v="0"/>
    <b v="0"/>
    <b v="0"/>
    <b v="0"/>
    <d v="2026-06-05T00:00:00"/>
    <n v="9928.8000000000011"/>
    <n v="29990"/>
    <s v="Above ₹10,000"/>
    <s v="4.0–4.4"/>
    <x v="5"/>
  </r>
  <r>
    <s v="B0C9M1ZM5S"/>
    <x v="405"/>
    <s v="Washing Machine"/>
    <n v="15390"/>
    <n v="27990"/>
    <n v="0.45"/>
    <n v="4"/>
    <n v="749"/>
    <n v="1"/>
    <b v="0"/>
    <b v="0"/>
    <b v="0"/>
    <b v="0"/>
    <d v="2026-06-05T00:00:00"/>
    <n v="2996"/>
    <n v="15390"/>
    <s v="Above ₹10,000"/>
    <s v="4.0–4.4"/>
    <x v="5"/>
  </r>
  <r>
    <s v="B0F3DBMCBQ"/>
    <x v="406"/>
    <s v="Washing Machine"/>
    <n v="15389"/>
    <n v="27300"/>
    <n v="0.436"/>
    <n v="4"/>
    <n v="543"/>
    <n v="1"/>
    <b v="0"/>
    <b v="0"/>
    <b v="0"/>
    <b v="0"/>
    <d v="2026-06-05T00:00:00"/>
    <n v="2172"/>
    <n v="15389"/>
    <s v="Above ₹10,000"/>
    <s v="4.0–4.4"/>
    <x v="5"/>
  </r>
  <r>
    <s v="B0DCVZWYJV"/>
    <x v="407"/>
    <s v="Washing Machine"/>
    <n v="22490"/>
    <n v="45990"/>
    <n v="0.51100000000000001"/>
    <n v="4"/>
    <n v="158"/>
    <n v="1"/>
    <b v="0"/>
    <b v="0"/>
    <b v="0"/>
    <b v="0"/>
    <d v="2026-06-05T00:00:00"/>
    <n v="632"/>
    <n v="22490"/>
    <s v="Above ₹10,000"/>
    <s v="4.0–4.4"/>
    <x v="3"/>
  </r>
  <r>
    <s v="B0F2SLWGJW"/>
    <x v="408"/>
    <s v="Washing Machine"/>
    <n v="21990"/>
    <n v="30990"/>
    <n v="0.28999999999999998"/>
    <n v="4"/>
    <n v="1630"/>
    <n v="1"/>
    <b v="0"/>
    <b v="0"/>
    <b v="0"/>
    <b v="0"/>
    <d v="2026-06-05T00:00:00"/>
    <n v="6520"/>
    <n v="21990"/>
    <s v="Above ₹10,000"/>
    <s v="4.0–4.4"/>
    <x v="2"/>
  </r>
  <r>
    <s v="B0DDTR73C1"/>
    <x v="409"/>
    <s v="Washing Machine"/>
    <n v="10490"/>
    <n v="13550"/>
    <n v="0.22600000000000001"/>
    <n v="4.2"/>
    <n v="437"/>
    <n v="1"/>
    <b v="0"/>
    <b v="0"/>
    <b v="0"/>
    <b v="0"/>
    <d v="2026-06-05T00:00:00"/>
    <n v="1835.4"/>
    <n v="10490"/>
    <s v="Above ₹10,000"/>
    <s v="4.0–4.4"/>
    <x v="2"/>
  </r>
  <r>
    <s v="B0GCNFRRL8"/>
    <x v="410"/>
    <s v="Washing Machine"/>
    <n v="19490"/>
    <n v="26490"/>
    <n v="0.26400000000000001"/>
    <n v="4.0999999999999996"/>
    <n v="527"/>
    <n v="1"/>
    <b v="0"/>
    <b v="0"/>
    <b v="0"/>
    <b v="0"/>
    <d v="2026-06-05T00:00:00"/>
    <n v="2160.6999999999998"/>
    <n v="19490"/>
    <s v="Above ₹10,000"/>
    <s v="4.0–4.4"/>
    <x v="2"/>
  </r>
  <r>
    <s v="B0D95VC9WT"/>
    <x v="411"/>
    <s v="Washing Machine"/>
    <n v="13499"/>
    <n v="17990"/>
    <n v="0.25"/>
    <n v="4.0999999999999996"/>
    <n v="289"/>
    <n v="1"/>
    <b v="0"/>
    <b v="0"/>
    <b v="0"/>
    <b v="0"/>
    <d v="2026-06-05T00:00:00"/>
    <n v="1184.8999999999999"/>
    <n v="13499"/>
    <s v="Above ₹10,000"/>
    <s v="4.0–4.4"/>
    <x v="2"/>
  </r>
  <r>
    <s v="B0F2TFK5YN"/>
    <x v="412"/>
    <s v="Washing Machine"/>
    <n v="17640"/>
    <n v="40990"/>
    <n v="0.56999999999999995"/>
    <n v="4"/>
    <n v="89"/>
    <n v="1"/>
    <b v="0"/>
    <b v="0"/>
    <b v="0"/>
    <b v="0"/>
    <d v="2026-06-05T00:00:00"/>
    <n v="356"/>
    <n v="17640"/>
    <s v="Above ₹10,000"/>
    <s v="4.0–4.4"/>
    <x v="3"/>
  </r>
  <r>
    <s v="B0DFLWDPV4"/>
    <x v="413"/>
    <s v="Washing Machine"/>
    <n v="30490"/>
    <n v="37090"/>
    <n v="0.17799999999999999"/>
    <n v="4.5"/>
    <n v="1289"/>
    <n v="1"/>
    <b v="0"/>
    <b v="0"/>
    <b v="0"/>
    <b v="0"/>
    <d v="2026-06-05T00:00:00"/>
    <n v="5800.5"/>
    <n v="30490"/>
    <s v="Above ₹10,000"/>
    <s v="4.5–5.0"/>
    <x v="4"/>
  </r>
  <r>
    <s v="B0FLRRMMX3"/>
    <x v="414"/>
    <s v="Washing Machine"/>
    <n v="8099"/>
    <n v="19999"/>
    <n v="0.59499999999999997"/>
    <n v="4.3"/>
    <n v="465"/>
    <n v="1"/>
    <b v="0"/>
    <b v="0"/>
    <b v="0"/>
    <b v="0"/>
    <d v="2026-06-05T00:00:00"/>
    <n v="1999.5"/>
    <n v="8099"/>
    <s v="₹5,000–₹10,000"/>
    <s v="4.0–4.4"/>
    <x v="3"/>
  </r>
  <r>
    <s v="B0DRYMKCW4"/>
    <x v="415"/>
    <s v="Washing Machine"/>
    <n v="40490"/>
    <n v="50990"/>
    <n v="0.20599999999999999"/>
    <n v="4.2"/>
    <n v="630"/>
    <n v="1"/>
    <b v="0"/>
    <b v="0"/>
    <b v="0"/>
    <b v="0"/>
    <d v="2026-06-05T00:00:00"/>
    <n v="2646"/>
    <n v="40490"/>
    <s v="Above ₹10,000"/>
    <s v="4.0–4.4"/>
    <x v="2"/>
  </r>
  <r>
    <s v="B0F8QV7RCR"/>
    <x v="416"/>
    <s v="Washing Machine"/>
    <n v="39990"/>
    <n v="48490"/>
    <n v="0.17499999999999999"/>
    <n v="4.5999999999999996"/>
    <n v="519"/>
    <n v="1"/>
    <b v="0"/>
    <b v="0"/>
    <b v="0"/>
    <b v="0"/>
    <d v="2026-06-05T00:00:00"/>
    <n v="2387.3999999999996"/>
    <n v="39990"/>
    <s v="Above ₹10,000"/>
    <s v="4.5–5.0"/>
    <x v="4"/>
  </r>
  <r>
    <s v="B0BWN5V717"/>
    <x v="417"/>
    <s v="Washing Machine"/>
    <n v="13000"/>
    <n v="15800"/>
    <n v="0.17699999999999999"/>
    <n v="4.0999999999999996"/>
    <n v="2878"/>
    <n v="1"/>
    <b v="0"/>
    <b v="0"/>
    <b v="0"/>
    <b v="0"/>
    <d v="2026-06-05T00:00:00"/>
    <n v="11799.8"/>
    <n v="13000"/>
    <s v="Above ₹10,000"/>
    <s v="4.0–4.4"/>
    <x v="4"/>
  </r>
  <r>
    <s v="B0DFLWL16S"/>
    <x v="418"/>
    <s v="Washing Machine"/>
    <n v="28990"/>
    <n v="35990"/>
    <n v="0.19400000000000001"/>
    <n v="4.2"/>
    <n v="632"/>
    <n v="1"/>
    <b v="0"/>
    <b v="0"/>
    <b v="0"/>
    <b v="0"/>
    <d v="2026-06-05T00:00:00"/>
    <n v="2654.4"/>
    <n v="28990"/>
    <s v="Above ₹10,000"/>
    <s v="4.0–4.4"/>
    <x v="4"/>
  </r>
  <r>
    <s v="B0F2S2YTKP"/>
    <x v="419"/>
    <s v="Washing Machine"/>
    <n v="25990"/>
    <n v="33990"/>
    <n v="0.23499999999999999"/>
    <n v="4.2"/>
    <n v="9559"/>
    <n v="1"/>
    <b v="0"/>
    <b v="0"/>
    <b v="0"/>
    <b v="0"/>
    <d v="2026-06-05T00:00:00"/>
    <n v="40147.800000000003"/>
    <n v="25990"/>
    <s v="Above ₹10,000"/>
    <s v="4.0–4.4"/>
    <x v="2"/>
  </r>
  <r>
    <s v="B0GCYNHN99"/>
    <x v="420"/>
    <s v="Washing Machine"/>
    <n v="18690"/>
    <n v="21950"/>
    <n v="0.14899999999999999"/>
    <n v="4"/>
    <n v="1832"/>
    <n v="1"/>
    <b v="0"/>
    <b v="0"/>
    <b v="0"/>
    <b v="0"/>
    <d v="2026-06-05T00:00:00"/>
    <n v="7328"/>
    <n v="18690"/>
    <s v="Above ₹10,000"/>
    <s v="4.0–4.4"/>
    <x v="4"/>
  </r>
  <r>
    <s v="B0D2QWCCC2"/>
    <x v="421"/>
    <s v="Washing Machine"/>
    <n v="21490"/>
    <n v="46500"/>
    <n v="0.53800000000000003"/>
    <n v="3.7"/>
    <n v="175"/>
    <n v="1"/>
    <b v="0"/>
    <b v="0"/>
    <b v="0"/>
    <b v="0"/>
    <d v="2026-06-05T00:00:00"/>
    <n v="647.5"/>
    <n v="21490"/>
    <s v="Above ₹10,000"/>
    <s v="3.0–3.9"/>
    <x v="3"/>
  </r>
  <r>
    <s v="B09FHRY2RF"/>
    <x v="422"/>
    <s v="Washing Machine"/>
    <n v="18990"/>
    <n v="26490"/>
    <n v="0.28299999999999997"/>
    <n v="4.4000000000000004"/>
    <n v="1504"/>
    <n v="1"/>
    <b v="0"/>
    <b v="0"/>
    <b v="0"/>
    <b v="0"/>
    <d v="2026-06-05T00:00:00"/>
    <n v="6617.6"/>
    <n v="18990"/>
    <s v="Above ₹10,000"/>
    <s v="4.0–4.4"/>
    <x v="2"/>
  </r>
  <r>
    <s v="B0CVQJR1XL"/>
    <x v="423"/>
    <s v="Washing Machine"/>
    <n v="16100"/>
    <n v="20490"/>
    <n v="0.214"/>
    <n v="4.3"/>
    <n v="1097"/>
    <n v="1"/>
    <b v="0"/>
    <b v="0"/>
    <b v="0"/>
    <b v="0"/>
    <d v="2026-06-05T00:00:00"/>
    <n v="4717.0999999999995"/>
    <n v="16100"/>
    <s v="Above ₹10,000"/>
    <s v="4.0–4.4"/>
    <x v="2"/>
  </r>
  <r>
    <s v="B08ZJHJ5DJ"/>
    <x v="424"/>
    <s v="Washing Machine"/>
    <n v="15590"/>
    <n v="15990"/>
    <n v="2.5000000000000001E-2"/>
    <n v="4"/>
    <n v="817"/>
    <n v="1"/>
    <b v="0"/>
    <b v="0"/>
    <b v="0"/>
    <b v="0"/>
    <d v="2026-06-05T00:00:00"/>
    <n v="3268"/>
    <n v="15590"/>
    <s v="Above ₹10,000"/>
    <s v="4.0–4.4"/>
    <x v="0"/>
  </r>
  <r>
    <s v="B0BV2RJV1B"/>
    <x v="425"/>
    <s v="Washing Machine"/>
    <n v="15790"/>
    <n v="20400"/>
    <n v="0.22600000000000001"/>
    <n v="4.3"/>
    <n v="2536"/>
    <n v="1"/>
    <b v="0"/>
    <b v="0"/>
    <b v="0"/>
    <b v="0"/>
    <d v="2026-06-05T00:00:00"/>
    <n v="10904.8"/>
    <n v="15790"/>
    <s v="Above ₹10,000"/>
    <s v="4.0–4.4"/>
    <x v="2"/>
  </r>
  <r>
    <s v="B0D8HX97BY"/>
    <x v="426"/>
    <s v="Washing Machine"/>
    <n v="44899"/>
    <m/>
    <m/>
    <n v="4.5"/>
    <n v="1963"/>
    <n v="2"/>
    <b v="0"/>
    <b v="0"/>
    <b v="0"/>
    <b v="0"/>
    <d v="2026-06-05T00:00:00"/>
    <n v="8833.5"/>
    <n v="44899"/>
    <s v="Above ₹10,000"/>
    <s v="4.5–5.0"/>
    <x v="1"/>
  </r>
  <r>
    <s v="B0F43WXDG9"/>
    <x v="427"/>
    <s v="Washing Machine"/>
    <n v="26950"/>
    <n v="35500"/>
    <n v="0.24099999999999999"/>
    <n v="4"/>
    <n v="2892"/>
    <n v="1"/>
    <b v="0"/>
    <b v="0"/>
    <b v="0"/>
    <b v="0"/>
    <d v="2026-06-05T00:00:00"/>
    <n v="11568"/>
    <n v="26950"/>
    <s v="Above ₹10,000"/>
    <s v="4.0–4.4"/>
    <x v="2"/>
  </r>
  <r>
    <s v="B0GMD5NPX6"/>
    <x v="428"/>
    <s v="Air Conditioner"/>
    <n v="32950"/>
    <n v="45300"/>
    <n v="0.27300000000000002"/>
    <n v="3.1"/>
    <n v="55"/>
    <n v="4"/>
    <b v="0"/>
    <b v="0"/>
    <b v="0"/>
    <b v="0"/>
    <d v="2026-06-05T00:00:00"/>
    <n v="170.5"/>
    <n v="32950"/>
    <s v="Above ₹10,000"/>
    <s v="3.0–3.9"/>
    <x v="2"/>
  </r>
  <r>
    <s v="B0GN37XP19"/>
    <x v="429"/>
    <s v="Air Conditioner"/>
    <n v="26990"/>
    <n v="43900"/>
    <n v="0.38500000000000001"/>
    <n v="4.0999999999999996"/>
    <n v="174"/>
    <n v="1"/>
    <b v="0"/>
    <b v="0"/>
    <b v="0"/>
    <b v="0"/>
    <d v="2026-06-05T00:00:00"/>
    <n v="713.4"/>
    <n v="26990"/>
    <s v="Above ₹10,000"/>
    <s v="4.0–4.4"/>
    <x v="5"/>
  </r>
  <r>
    <s v="B0H2Z54Y5T"/>
    <x v="430"/>
    <s v="Air Conditioner"/>
    <n v="34999"/>
    <m/>
    <m/>
    <m/>
    <n v="0"/>
    <n v="1"/>
    <b v="0"/>
    <b v="0"/>
    <b v="0"/>
    <b v="0"/>
    <d v="2026-06-05T00:00:00"/>
    <s v=""/>
    <n v="34999"/>
    <s v="Above ₹10,000"/>
    <s v="Not Rated"/>
    <x v="1"/>
  </r>
  <r>
    <s v="B0GHFS8GMH"/>
    <x v="431"/>
    <s v="Air Conditioner"/>
    <n v="29990"/>
    <n v="47900"/>
    <n v="0.374"/>
    <n v="3.7"/>
    <n v="171"/>
    <n v="1"/>
    <b v="0"/>
    <b v="0"/>
    <b v="0"/>
    <b v="0"/>
    <d v="2026-06-05T00:00:00"/>
    <n v="632.70000000000005"/>
    <n v="29990"/>
    <s v="Above ₹10,000"/>
    <s v="3.0–3.9"/>
    <x v="5"/>
  </r>
  <r>
    <s v="B0CWVDXYX1"/>
    <x v="432"/>
    <s v="Air Conditioner"/>
    <n v="31490"/>
    <n v="62990"/>
    <n v="0.5"/>
    <n v="3.5"/>
    <n v="2493"/>
    <n v="1"/>
    <b v="0"/>
    <b v="0"/>
    <b v="0"/>
    <b v="0"/>
    <d v="2026-06-05T00:00:00"/>
    <n v="8725.5"/>
    <n v="31490"/>
    <s v="Above ₹10,000"/>
    <s v="3.0–3.9"/>
    <x v="3"/>
  </r>
  <r>
    <s v="B0GHQVN35Z"/>
    <x v="433"/>
    <s v="Air Conditioner"/>
    <n v="32490"/>
    <n v="57150"/>
    <n v="0.43099999999999999"/>
    <n v="3.1"/>
    <n v="112"/>
    <n v="2"/>
    <b v="0"/>
    <b v="0"/>
    <b v="0"/>
    <b v="0"/>
    <d v="2026-06-05T00:00:00"/>
    <n v="347.2"/>
    <n v="32490"/>
    <s v="Above ₹10,000"/>
    <s v="3.0–3.9"/>
    <x v="5"/>
  </r>
  <r>
    <s v="B0GSJV6XTF"/>
    <x v="434"/>
    <s v="Air Conditioner"/>
    <n v="30980"/>
    <n v="50990"/>
    <n v="0.39200000000000002"/>
    <n v="4.2"/>
    <n v="101"/>
    <n v="4"/>
    <b v="0"/>
    <b v="0"/>
    <b v="0"/>
    <b v="0"/>
    <d v="2026-06-05T00:00:00"/>
    <n v="424.20000000000005"/>
    <n v="30980"/>
    <s v="Above ₹10,000"/>
    <s v="4.0–4.4"/>
    <x v="5"/>
  </r>
  <r>
    <s v="B0F2J56GZR"/>
    <x v="435"/>
    <s v="Air Conditioner"/>
    <n v="39700"/>
    <m/>
    <m/>
    <n v="4.3"/>
    <n v="135"/>
    <n v="1"/>
    <b v="0"/>
    <b v="0"/>
    <b v="0"/>
    <b v="0"/>
    <d v="2026-06-05T00:00:00"/>
    <n v="580.5"/>
    <n v="39700"/>
    <s v="Above ₹10,000"/>
    <s v="4.0–4.4"/>
    <x v="1"/>
  </r>
  <r>
    <s v="B0GVJ3PXPG"/>
    <x v="436"/>
    <s v="Air Conditioner"/>
    <n v="42490"/>
    <n v="76490"/>
    <n v="0.44500000000000001"/>
    <n v="4.3"/>
    <n v="264"/>
    <n v="1"/>
    <b v="0"/>
    <b v="0"/>
    <b v="1"/>
    <b v="0"/>
    <d v="2026-06-05T00:00:00"/>
    <n v="1135.2"/>
    <n v="42490"/>
    <s v="Above ₹10,000"/>
    <s v="4.0–4.4"/>
    <x v="5"/>
  </r>
  <r>
    <s v="B0D184ZZDL"/>
    <x v="437"/>
    <s v="Air Conditioner"/>
    <n v="28990"/>
    <m/>
    <m/>
    <n v="3.2"/>
    <n v="143"/>
    <n v="1"/>
    <b v="0"/>
    <b v="0"/>
    <b v="0"/>
    <b v="0"/>
    <d v="2026-06-05T00:00:00"/>
    <n v="457.6"/>
    <n v="28990"/>
    <s v="Above ₹10,000"/>
    <s v="3.0–3.9"/>
    <x v="1"/>
  </r>
  <r>
    <s v="B0GX6XHZ3S"/>
    <x v="438"/>
    <s v="Air Conditioner"/>
    <n v="39390"/>
    <n v="44400"/>
    <n v="0.113"/>
    <n v="4.3"/>
    <n v="9"/>
    <n v="1"/>
    <b v="0"/>
    <b v="0"/>
    <b v="0"/>
    <b v="0"/>
    <d v="2026-06-05T00:00:00"/>
    <n v="38.699999999999996"/>
    <n v="39390"/>
    <s v="Above ₹10,000"/>
    <s v="4.0–4.4"/>
    <x v="4"/>
  </r>
  <r>
    <s v="B0DQTBQV3C"/>
    <x v="439"/>
    <s v="Air Conditioner"/>
    <n v="34880"/>
    <n v="63850"/>
    <n v="0.45400000000000001"/>
    <n v="3.9"/>
    <n v="1203"/>
    <n v="5"/>
    <b v="0"/>
    <b v="0"/>
    <b v="0"/>
    <b v="0"/>
    <d v="2026-06-05T00:00:00"/>
    <n v="4691.7"/>
    <n v="34880"/>
    <s v="Above ₹10,000"/>
    <s v="3.0–3.9"/>
    <x v="5"/>
  </r>
  <r>
    <s v="B0GVJ3WB54"/>
    <x v="440"/>
    <s v="Air Conditioner"/>
    <n v="36300"/>
    <n v="61490"/>
    <n v="0.41"/>
    <n v="4.3"/>
    <n v="32"/>
    <n v="1"/>
    <b v="0"/>
    <b v="0"/>
    <b v="0"/>
    <b v="0"/>
    <d v="2026-06-05T00:00:00"/>
    <n v="137.6"/>
    <n v="36300"/>
    <s v="Above ₹10,000"/>
    <s v="4.0–4.4"/>
    <x v="5"/>
  </r>
  <r>
    <s v="B0GP6S6S5F"/>
    <x v="441"/>
    <s v="Air Conditioner"/>
    <n v="36999"/>
    <n v="65990"/>
    <n v="0.439"/>
    <n v="3.8"/>
    <n v="52"/>
    <n v="1"/>
    <b v="0"/>
    <b v="0"/>
    <b v="0"/>
    <b v="0"/>
    <d v="2026-06-05T00:00:00"/>
    <n v="197.6"/>
    <n v="36999"/>
    <s v="Above ₹10,000"/>
    <s v="3.0–3.9"/>
    <x v="5"/>
  </r>
  <r>
    <s v="B0GSZWGHM3"/>
    <x v="442"/>
    <s v="Air Conditioner"/>
    <n v="34990"/>
    <n v="47990"/>
    <n v="0.27100000000000002"/>
    <n v="3.6"/>
    <n v="42"/>
    <n v="1"/>
    <b v="0"/>
    <b v="0"/>
    <b v="0"/>
    <b v="0"/>
    <d v="2026-06-05T00:00:00"/>
    <n v="151.20000000000002"/>
    <n v="34990"/>
    <s v="Above ₹10,000"/>
    <s v="3.0–3.9"/>
    <x v="2"/>
  </r>
  <r>
    <s v="B0GWMMD2DT"/>
    <x v="443"/>
    <s v="Air Conditioner"/>
    <n v="48490"/>
    <n v="83290"/>
    <n v="0.41799999999999998"/>
    <n v="4.0999999999999996"/>
    <n v="788"/>
    <n v="1"/>
    <b v="0"/>
    <b v="0"/>
    <b v="0"/>
    <b v="0"/>
    <d v="2026-06-05T00:00:00"/>
    <n v="3230.7999999999997"/>
    <n v="48490"/>
    <s v="Above ₹10,000"/>
    <s v="4.0–4.4"/>
    <x v="5"/>
  </r>
  <r>
    <s v="B0GMDS7CY7"/>
    <x v="444"/>
    <s v="Air Conditioner"/>
    <n v="33989"/>
    <n v="49090"/>
    <n v="0.308"/>
    <n v="3.9"/>
    <n v="607"/>
    <n v="1"/>
    <b v="0"/>
    <b v="0"/>
    <b v="0"/>
    <b v="0"/>
    <d v="2026-06-05T00:00:00"/>
    <n v="2367.2999999999997"/>
    <n v="33989"/>
    <s v="Above ₹10,000"/>
    <s v="3.0–3.9"/>
    <x v="5"/>
  </r>
  <r>
    <s v="B0GXWCJ7JQ"/>
    <x v="445"/>
    <s v="Air Conditioner"/>
    <n v="31490"/>
    <n v="32400"/>
    <n v="2.8000000000000001E-2"/>
    <n v="4"/>
    <n v="1"/>
    <n v="1"/>
    <b v="0"/>
    <b v="0"/>
    <b v="0"/>
    <b v="0"/>
    <d v="2026-06-05T00:00:00"/>
    <n v="4"/>
    <n v="31490"/>
    <s v="Above ₹10,000"/>
    <s v="4.0–4.4"/>
    <x v="0"/>
  </r>
  <r>
    <s v="B0GQ4VYGH7"/>
    <x v="446"/>
    <s v="Air Conditioner"/>
    <n v="6735"/>
    <n v="12796"/>
    <n v="0.47399999999999998"/>
    <n v="2.5"/>
    <n v="3"/>
    <n v="2"/>
    <b v="0"/>
    <b v="0"/>
    <b v="0"/>
    <b v="0"/>
    <d v="2026-06-05T00:00:00"/>
    <n v="7.5"/>
    <n v="6735"/>
    <s v="₹5,000–₹10,000"/>
    <s v="2.0–2.9"/>
    <x v="5"/>
  </r>
  <r>
    <s v="B0GN1PXL63"/>
    <x v="447"/>
    <s v="Air Conditioner"/>
    <n v="31990"/>
    <m/>
    <m/>
    <n v="3.5"/>
    <n v="146"/>
    <n v="1"/>
    <b v="0"/>
    <b v="0"/>
    <b v="0"/>
    <b v="0"/>
    <d v="2026-06-05T00:00:00"/>
    <n v="511"/>
    <n v="31990"/>
    <s v="Above ₹10,000"/>
    <s v="3.0–3.9"/>
    <x v="1"/>
  </r>
  <r>
    <s v="B0GHFLZQ21"/>
    <x v="448"/>
    <s v="Air Conditioner"/>
    <n v="36989"/>
    <n v="60900"/>
    <n v="0.39300000000000002"/>
    <n v="3.7"/>
    <n v="11"/>
    <n v="1"/>
    <b v="0"/>
    <b v="0"/>
    <b v="0"/>
    <b v="0"/>
    <d v="2026-06-05T00:00:00"/>
    <n v="40.700000000000003"/>
    <n v="36989"/>
    <s v="Above ₹10,000"/>
    <s v="3.0–3.9"/>
    <x v="5"/>
  </r>
  <r>
    <s v="B0BK1KS6ZD"/>
    <x v="449"/>
    <s v="Air Conditioner"/>
    <n v="38990"/>
    <n v="67900"/>
    <n v="0.42599999999999999"/>
    <n v="4.0999999999999996"/>
    <n v="4698"/>
    <n v="1"/>
    <b v="0"/>
    <b v="0"/>
    <b v="0"/>
    <b v="0"/>
    <d v="2026-06-05T00:00:00"/>
    <n v="19261.8"/>
    <n v="38990"/>
    <s v="Above ₹10,000"/>
    <s v="4.0–4.4"/>
    <x v="5"/>
  </r>
  <r>
    <s v="B0GT12VHZB"/>
    <x v="450"/>
    <s v="Air Conditioner"/>
    <n v="27981"/>
    <n v="32990"/>
    <n v="0.152"/>
    <n v="3.4"/>
    <n v="18"/>
    <n v="1"/>
    <b v="0"/>
    <b v="0"/>
    <b v="0"/>
    <b v="0"/>
    <d v="2026-06-05T00:00:00"/>
    <n v="61.199999999999996"/>
    <n v="27981"/>
    <s v="Above ₹10,000"/>
    <s v="3.0–3.9"/>
    <x v="4"/>
  </r>
  <r>
    <s v="B0GLG57PWF"/>
    <x v="451"/>
    <s v="Air Conditioner"/>
    <n v="5686"/>
    <n v="12167"/>
    <n v="0.53300000000000003"/>
    <m/>
    <n v="0"/>
    <n v="1"/>
    <b v="0"/>
    <b v="0"/>
    <b v="0"/>
    <b v="0"/>
    <d v="2026-06-05T00:00:00"/>
    <s v=""/>
    <n v="5686"/>
    <s v="₹5,000–₹10,000"/>
    <s v="Not Rated"/>
    <x v="3"/>
  </r>
  <r>
    <s v="B0GDZVGC9W"/>
    <x v="452"/>
    <s v="Air Conditioner"/>
    <n v="37490"/>
    <n v="68990"/>
    <n v="0.45700000000000002"/>
    <n v="4"/>
    <n v="2065"/>
    <n v="1"/>
    <b v="0"/>
    <b v="0"/>
    <b v="0"/>
    <b v="0"/>
    <d v="2026-06-05T00:00:00"/>
    <n v="8260"/>
    <n v="37490"/>
    <s v="Above ₹10,000"/>
    <s v="4.0–4.4"/>
    <x v="5"/>
  </r>
  <r>
    <s v="B0F6VQ2XV6"/>
    <x v="453"/>
    <s v="Air Conditioner"/>
    <n v="24990"/>
    <n v="27999"/>
    <n v="0.107"/>
    <n v="3.3"/>
    <n v="16"/>
    <n v="1"/>
    <b v="0"/>
    <b v="0"/>
    <b v="0"/>
    <b v="0"/>
    <d v="2026-06-05T00:00:00"/>
    <n v="52.8"/>
    <n v="24990"/>
    <s v="Above ₹10,000"/>
    <s v="3.0–3.9"/>
    <x v="4"/>
  </r>
  <r>
    <s v="B0GLPT7LPG"/>
    <x v="454"/>
    <s v="Air Conditioner"/>
    <m/>
    <m/>
    <m/>
    <n v="3.2"/>
    <n v="21"/>
    <n v="1"/>
    <b v="0"/>
    <b v="0"/>
    <b v="0"/>
    <b v="0"/>
    <d v="2026-06-05T00:00:00"/>
    <n v="67.2"/>
    <m/>
    <s v=" "/>
    <s v="3.0–3.9"/>
    <x v="1"/>
  </r>
  <r>
    <s v="B0DSJ9FQLD"/>
    <x v="455"/>
    <s v="Air Conditioner"/>
    <n v="32100"/>
    <n v="57660"/>
    <n v="0.443"/>
    <n v="3.3"/>
    <n v="630"/>
    <n v="1"/>
    <b v="0"/>
    <b v="0"/>
    <b v="0"/>
    <b v="0"/>
    <d v="2026-06-05T00:00:00"/>
    <n v="2079"/>
    <n v="32100"/>
    <s v="Above ₹10,000"/>
    <s v="3.0–3.9"/>
    <x v="5"/>
  </r>
  <r>
    <s v="B0GMYF4SNM"/>
    <x v="456"/>
    <s v="Air Conditioner"/>
    <n v="47490"/>
    <n v="75000"/>
    <n v="0.36699999999999999"/>
    <n v="4.2"/>
    <n v="19"/>
    <n v="1"/>
    <b v="0"/>
    <b v="0"/>
    <b v="0"/>
    <b v="0"/>
    <d v="2026-06-05T00:00:00"/>
    <n v="79.8"/>
    <n v="47490"/>
    <s v="Above ₹10,000"/>
    <s v="4.0–4.4"/>
    <x v="5"/>
  </r>
  <r>
    <s v="B0GRTMHWLD"/>
    <x v="457"/>
    <s v="Air Conditioner"/>
    <n v="27940"/>
    <m/>
    <m/>
    <n v="3.7"/>
    <n v="29"/>
    <n v="1"/>
    <b v="0"/>
    <b v="0"/>
    <b v="0"/>
    <b v="0"/>
    <d v="2026-06-05T00:00:00"/>
    <n v="107.30000000000001"/>
    <n v="27940"/>
    <s v="Above ₹10,000"/>
    <s v="3.0–3.9"/>
    <x v="1"/>
  </r>
  <r>
    <s v="B0GHYMPNZ9"/>
    <x v="458"/>
    <s v="Air Conditioner"/>
    <n v="33490"/>
    <n v="67990"/>
    <n v="0.50700000000000001"/>
    <n v="4.0999999999999996"/>
    <n v="96"/>
    <n v="1"/>
    <b v="0"/>
    <b v="0"/>
    <b v="0"/>
    <b v="0"/>
    <d v="2026-06-05T00:00:00"/>
    <n v="393.59999999999997"/>
    <n v="33490"/>
    <s v="Above ₹10,000"/>
    <s v="4.0–4.4"/>
    <x v="3"/>
  </r>
  <r>
    <s v="B0DR2YG4FF"/>
    <x v="459"/>
    <s v="Air Conditioner"/>
    <n v="26490"/>
    <m/>
    <m/>
    <n v="3.4"/>
    <n v="443"/>
    <n v="1"/>
    <b v="0"/>
    <b v="0"/>
    <b v="0"/>
    <b v="0"/>
    <d v="2026-06-05T00:00:00"/>
    <n v="1506.2"/>
    <n v="26490"/>
    <s v="Above ₹10,000"/>
    <s v="3.0–3.9"/>
    <x v="1"/>
  </r>
  <r>
    <s v="B0GPWXCGV1"/>
    <x v="460"/>
    <s v="Air Conditioner"/>
    <n v="33490"/>
    <n v="48500"/>
    <n v="0.309"/>
    <n v="3.8"/>
    <n v="56"/>
    <n v="1"/>
    <b v="0"/>
    <b v="0"/>
    <b v="0"/>
    <b v="0"/>
    <d v="2026-06-05T00:00:00"/>
    <n v="212.79999999999998"/>
    <n v="33490"/>
    <s v="Above ₹10,000"/>
    <s v="3.0–3.9"/>
    <x v="5"/>
  </r>
  <r>
    <s v="B0DSJ9J3PY"/>
    <x v="461"/>
    <s v="Air Conditioner"/>
    <n v="36950"/>
    <n v="75000"/>
    <n v="0.50700000000000001"/>
    <n v="3.5"/>
    <n v="877"/>
    <n v="1"/>
    <b v="0"/>
    <b v="0"/>
    <b v="0"/>
    <b v="0"/>
    <d v="2026-06-05T00:00:00"/>
    <n v="3069.5"/>
    <n v="36950"/>
    <s v="Above ₹10,000"/>
    <s v="3.0–3.9"/>
    <x v="3"/>
  </r>
  <r>
    <s v="B0GHR4CZK4"/>
    <x v="462"/>
    <s v="Air Conditioner"/>
    <n v="39289"/>
    <n v="60990"/>
    <n v="0.35599999999999998"/>
    <n v="4.4000000000000004"/>
    <n v="16"/>
    <n v="1"/>
    <b v="0"/>
    <b v="0"/>
    <b v="0"/>
    <b v="0"/>
    <d v="2026-06-05T00:00:00"/>
    <n v="70.400000000000006"/>
    <n v="39289"/>
    <s v="Above ₹10,000"/>
    <s v="4.0–4.4"/>
    <x v="5"/>
  </r>
  <r>
    <s v="B0CWVDN3HZ"/>
    <x v="463"/>
    <s v="Air Conditioner"/>
    <n v="39990"/>
    <n v="83999"/>
    <n v="0.52400000000000002"/>
    <n v="3.7"/>
    <n v="1050"/>
    <n v="1"/>
    <b v="0"/>
    <b v="0"/>
    <b v="0"/>
    <b v="0"/>
    <d v="2026-06-05T00:00:00"/>
    <n v="3885"/>
    <n v="39990"/>
    <s v="Above ₹10,000"/>
    <s v="3.0–3.9"/>
    <x v="3"/>
  </r>
  <r>
    <s v="B0CDHBG4TT"/>
    <x v="464"/>
    <s v="Air Conditioner"/>
    <n v="37400"/>
    <m/>
    <m/>
    <n v="4.0999999999999996"/>
    <n v="85"/>
    <n v="1"/>
    <b v="0"/>
    <b v="0"/>
    <b v="0"/>
    <b v="0"/>
    <d v="2026-06-05T00:00:00"/>
    <n v="348.49999999999994"/>
    <n v="37400"/>
    <s v="Above ₹10,000"/>
    <s v="4.0–4.4"/>
    <x v="1"/>
  </r>
  <r>
    <s v="B0GCDZ3BSK"/>
    <x v="465"/>
    <s v="Air Conditioner"/>
    <n v="45990"/>
    <n v="75590"/>
    <n v="0.39200000000000002"/>
    <n v="4"/>
    <n v="131"/>
    <n v="1"/>
    <b v="0"/>
    <b v="0"/>
    <b v="0"/>
    <b v="0"/>
    <d v="2026-06-05T00:00:00"/>
    <n v="524"/>
    <n v="45990"/>
    <s v="Above ₹10,000"/>
    <s v="4.0–4.4"/>
    <x v="5"/>
  </r>
  <r>
    <s v="B0GHQTWCZ6"/>
    <x v="466"/>
    <s v="Air Conditioner"/>
    <n v="61989"/>
    <n v="79500"/>
    <n v="0.22"/>
    <n v="3.8"/>
    <n v="26"/>
    <n v="1"/>
    <b v="0"/>
    <b v="0"/>
    <b v="0"/>
    <b v="0"/>
    <d v="2026-06-05T00:00:00"/>
    <n v="98.8"/>
    <n v="61989"/>
    <s v="Above ₹10,000"/>
    <s v="3.0–3.9"/>
    <x v="2"/>
  </r>
  <r>
    <s v="B0GP736CV2"/>
    <x v="467"/>
    <s v="Air Conditioner"/>
    <n v="45999"/>
    <n v="80990"/>
    <n v="0.432"/>
    <n v="3.6"/>
    <n v="29"/>
    <n v="1"/>
    <b v="0"/>
    <b v="0"/>
    <b v="0"/>
    <b v="0"/>
    <d v="2026-06-05T00:00:00"/>
    <n v="104.4"/>
    <n v="45999"/>
    <s v="Above ₹10,000"/>
    <s v="3.0–3.9"/>
    <x v="5"/>
  </r>
  <r>
    <s v="B0GNZ9J864"/>
    <x v="468"/>
    <s v="Air Conditioner"/>
    <n v="48490"/>
    <n v="87990"/>
    <n v="0.44900000000000001"/>
    <n v="3.8"/>
    <n v="16"/>
    <n v="2"/>
    <b v="0"/>
    <b v="0"/>
    <b v="0"/>
    <b v="0"/>
    <d v="2026-06-05T00:00:00"/>
    <n v="60.8"/>
    <n v="48490"/>
    <s v="Above ₹10,000"/>
    <s v="3.0–3.9"/>
    <x v="5"/>
  </r>
  <r>
    <s v="B0GSJLWC8B"/>
    <x v="469"/>
    <s v="Air Conditioner"/>
    <n v="42990"/>
    <n v="74990"/>
    <n v="0.42699999999999999"/>
    <n v="4.0999999999999996"/>
    <n v="38"/>
    <n v="2"/>
    <b v="0"/>
    <b v="0"/>
    <b v="0"/>
    <b v="0"/>
    <d v="2026-06-05T00:00:00"/>
    <n v="155.79999999999998"/>
    <n v="42990"/>
    <s v="Above ₹10,000"/>
    <s v="4.0–4.4"/>
    <x v="5"/>
  </r>
  <r>
    <s v="B0GCDHG1FX"/>
    <x v="470"/>
    <s v="Air Conditioner"/>
    <n v="58989"/>
    <n v="91690"/>
    <n v="0.35699999999999998"/>
    <n v="4"/>
    <n v="85"/>
    <n v="1"/>
    <b v="0"/>
    <b v="0"/>
    <b v="0"/>
    <b v="0"/>
    <d v="2026-06-05T00:00:00"/>
    <n v="340"/>
    <n v="58989"/>
    <s v="Above ₹10,000"/>
    <s v="4.0–4.4"/>
    <x v="5"/>
  </r>
  <r>
    <s v="B0DQTDJ5MD"/>
    <x v="471"/>
    <s v="Air Conditioner"/>
    <n v="44690"/>
    <m/>
    <m/>
    <n v="4"/>
    <n v="775"/>
    <n v="3"/>
    <b v="0"/>
    <b v="0"/>
    <b v="0"/>
    <b v="0"/>
    <d v="2026-06-05T00:00:00"/>
    <n v="3100"/>
    <n v="44690"/>
    <s v="Above ₹10,000"/>
    <s v="4.0–4.4"/>
    <x v="1"/>
  </r>
  <r>
    <s v="B0G9SR834W"/>
    <x v="472"/>
    <s v="Air Conditioner"/>
    <n v="35490"/>
    <n v="78990"/>
    <n v="0.55100000000000005"/>
    <n v="3.7"/>
    <n v="1830"/>
    <n v="1"/>
    <b v="0"/>
    <b v="0"/>
    <b v="0"/>
    <b v="0"/>
    <d v="2026-06-05T00:00:00"/>
    <n v="6771"/>
    <n v="35490"/>
    <s v="Above ₹10,000"/>
    <s v="3.0–3.9"/>
    <x v="3"/>
  </r>
  <r>
    <s v="B0GS286N2M"/>
    <x v="473"/>
    <s v="Air Conditioner"/>
    <n v="48950"/>
    <n v="84990"/>
    <n v="0.42399999999999999"/>
    <n v="4.4000000000000004"/>
    <n v="23"/>
    <n v="8"/>
    <b v="0"/>
    <b v="0"/>
    <b v="0"/>
    <b v="0"/>
    <d v="2026-06-05T00:00:00"/>
    <n v="101.2"/>
    <n v="48950"/>
    <s v="Above ₹10,000"/>
    <s v="4.0–4.4"/>
    <x v="5"/>
  </r>
  <r>
    <s v="B0GKMP6VYS"/>
    <x v="474"/>
    <s v="Air Conditioner"/>
    <n v="43990"/>
    <n v="66990"/>
    <n v="0.34300000000000003"/>
    <n v="3.1"/>
    <n v="26"/>
    <n v="1"/>
    <b v="0"/>
    <b v="0"/>
    <b v="0"/>
    <b v="0"/>
    <d v="2026-06-05T00:00:00"/>
    <n v="80.600000000000009"/>
    <n v="43990"/>
    <s v="Above ₹10,000"/>
    <s v="3.0–3.9"/>
    <x v="5"/>
  </r>
  <r>
    <s v="B0GYT9CTX1"/>
    <x v="475"/>
    <s v="Air Conditioner"/>
    <n v="42690"/>
    <n v="82390"/>
    <n v="0.48199999999999998"/>
    <m/>
    <n v="0"/>
    <n v="1"/>
    <b v="0"/>
    <b v="0"/>
    <b v="0"/>
    <b v="0"/>
    <d v="2026-06-05T00:00:00"/>
    <s v=""/>
    <n v="42690"/>
    <s v="Above ₹10,000"/>
    <s v="Not Rated"/>
    <x v="5"/>
  </r>
  <r>
    <s v="B0H1S4RH9H"/>
    <x v="476"/>
    <s v="Camera"/>
    <n v="599"/>
    <n v="1299"/>
    <n v="0.53900000000000003"/>
    <n v="3"/>
    <n v="2"/>
    <n v="1"/>
    <b v="0"/>
    <b v="0"/>
    <b v="0"/>
    <b v="0"/>
    <d v="2026-06-05T00:00:00"/>
    <n v="6"/>
    <n v="599"/>
    <s v="₹500–₹1,000"/>
    <s v="3.0–3.9"/>
    <x v="3"/>
  </r>
  <r>
    <s v="B0DQY9DPXR"/>
    <x v="477"/>
    <s v="Camera"/>
    <n v="611"/>
    <n v="999"/>
    <n v="0.38800000000000001"/>
    <n v="3.6"/>
    <n v="915"/>
    <n v="1"/>
    <b v="0"/>
    <b v="0"/>
    <b v="0"/>
    <b v="0"/>
    <d v="2026-06-05T00:00:00"/>
    <n v="3294"/>
    <n v="611"/>
    <s v="₹500–₹1,000"/>
    <s v="3.0–3.9"/>
    <x v="5"/>
  </r>
  <r>
    <s v="B0F2GBXRYQ"/>
    <x v="478"/>
    <s v="Camera"/>
    <n v="2499"/>
    <n v="4995"/>
    <n v="0.5"/>
    <n v="4.2"/>
    <n v="217"/>
    <n v="1"/>
    <b v="0"/>
    <b v="0"/>
    <b v="1"/>
    <b v="0"/>
    <d v="2026-06-05T00:00:00"/>
    <n v="911.40000000000009"/>
    <n v="2499"/>
    <s v="₹1,000–₹5,000"/>
    <s v="4.0–4.4"/>
    <x v="3"/>
  </r>
  <r>
    <s v="B0BWK7KGNF"/>
    <x v="479"/>
    <s v="Camera"/>
    <n v="749"/>
    <n v="2999"/>
    <n v="0.75"/>
    <n v="3"/>
    <n v="1080"/>
    <n v="1"/>
    <b v="0"/>
    <b v="0"/>
    <b v="0"/>
    <b v="0"/>
    <d v="2026-06-05T00:00:00"/>
    <n v="3240"/>
    <n v="749"/>
    <s v="₹500–₹1,000"/>
    <s v="3.0–3.9"/>
    <x v="3"/>
  </r>
  <r>
    <s v="B0G1C2TGWX"/>
    <x v="480"/>
    <s v="Camera"/>
    <n v="567"/>
    <n v="1399"/>
    <n v="0.59499999999999997"/>
    <n v="3.8"/>
    <n v="316"/>
    <n v="1"/>
    <b v="0"/>
    <b v="0"/>
    <b v="0"/>
    <b v="0"/>
    <d v="2026-06-05T00:00:00"/>
    <n v="1200.8"/>
    <n v="567"/>
    <s v="₹500–₹1,000"/>
    <s v="3.0–3.9"/>
    <x v="3"/>
  </r>
  <r>
    <s v="B0FNRV6X18"/>
    <x v="481"/>
    <s v="Camera"/>
    <n v="1999"/>
    <n v="2700"/>
    <n v="0.26"/>
    <n v="3.7"/>
    <n v="15051"/>
    <n v="1"/>
    <b v="0"/>
    <b v="0"/>
    <b v="0"/>
    <b v="1"/>
    <d v="2026-06-05T00:00:00"/>
    <n v="55688.700000000004"/>
    <n v="1999"/>
    <s v="₹1,000–₹5,000"/>
    <s v="3.0–3.9"/>
    <x v="2"/>
  </r>
  <r>
    <s v="B0GLGLRD9Z"/>
    <x v="482"/>
    <s v="Camera"/>
    <n v="1599"/>
    <n v="2799"/>
    <n v="0.42899999999999999"/>
    <n v="4.2"/>
    <n v="2585"/>
    <n v="1"/>
    <b v="0"/>
    <b v="0"/>
    <b v="0"/>
    <b v="0"/>
    <d v="2026-06-05T00:00:00"/>
    <n v="10857"/>
    <n v="1599"/>
    <s v="₹1,000–₹5,000"/>
    <s v="4.0–4.4"/>
    <x v="5"/>
  </r>
  <r>
    <s v="B0FL2P622N"/>
    <x v="483"/>
    <s v="Camera"/>
    <n v="2199"/>
    <n v="2800"/>
    <n v="0.215"/>
    <n v="3.8"/>
    <n v="294"/>
    <n v="1"/>
    <b v="0"/>
    <b v="0"/>
    <b v="0"/>
    <b v="1"/>
    <d v="2026-06-05T00:00:00"/>
    <n v="1117.2"/>
    <n v="2199"/>
    <s v="₹1,000–₹5,000"/>
    <s v="3.0–3.9"/>
    <x v="2"/>
  </r>
  <r>
    <s v="B0GZV2SYGM"/>
    <x v="484"/>
    <s v="Camera"/>
    <n v="1879"/>
    <n v="8999"/>
    <n v="0.79100000000000004"/>
    <n v="2.7"/>
    <n v="4"/>
    <n v="1"/>
    <b v="0"/>
    <b v="0"/>
    <b v="0"/>
    <b v="0"/>
    <d v="2026-06-05T00:00:00"/>
    <n v="10.8"/>
    <n v="1879"/>
    <s v="₹1,000–₹5,000"/>
    <s v="2.0–2.9"/>
    <x v="3"/>
  </r>
  <r>
    <s v="B0G64G64YL"/>
    <x v="485"/>
    <s v="Camera"/>
    <n v="2490"/>
    <n v="3990"/>
    <n v="0.376"/>
    <n v="3.8"/>
    <n v="3495"/>
    <n v="1"/>
    <b v="0"/>
    <b v="0"/>
    <b v="0"/>
    <b v="0"/>
    <d v="2026-06-05T00:00:00"/>
    <n v="13281"/>
    <n v="2490"/>
    <s v="₹1,000–₹5,000"/>
    <s v="3.0–3.9"/>
    <x v="5"/>
  </r>
  <r>
    <s v="B0GNKW2XT6"/>
    <x v="486"/>
    <s v="Camera"/>
    <n v="499"/>
    <n v="1999"/>
    <n v="0.75"/>
    <n v="3.9"/>
    <n v="12"/>
    <n v="1"/>
    <b v="0"/>
    <b v="0"/>
    <b v="0"/>
    <b v="0"/>
    <d v="2026-06-05T00:00:00"/>
    <n v="46.8"/>
    <n v="499"/>
    <s v="Under ₹500"/>
    <s v="3.0–3.9"/>
    <x v="3"/>
  </r>
  <r>
    <s v="B0FH5G1Z7P"/>
    <x v="487"/>
    <s v="Camera"/>
    <n v="923"/>
    <n v="3400"/>
    <n v="0.72899999999999998"/>
    <n v="3.9"/>
    <n v="280"/>
    <n v="15"/>
    <b v="0"/>
    <b v="0"/>
    <b v="0"/>
    <b v="0"/>
    <d v="2026-06-05T00:00:00"/>
    <n v="1092"/>
    <n v="923"/>
    <s v="₹500–₹1,000"/>
    <s v="3.0–3.9"/>
    <x v="3"/>
  </r>
  <r>
    <s v="B0GLGSTCDP"/>
    <x v="488"/>
    <s v="Camera"/>
    <n v="1989"/>
    <n v="3999"/>
    <n v="0.503"/>
    <n v="4.5999999999999996"/>
    <n v="14"/>
    <n v="1"/>
    <b v="0"/>
    <b v="0"/>
    <b v="0"/>
    <b v="0"/>
    <d v="2026-06-05T00:00:00"/>
    <n v="64.399999999999991"/>
    <n v="1989"/>
    <s v="₹1,000–₹5,000"/>
    <s v="4.5–5.0"/>
    <x v="3"/>
  </r>
  <r>
    <s v="B0C8HCLQVC"/>
    <x v="489"/>
    <s v="Camera"/>
    <n v="42990"/>
    <n v="64995"/>
    <n v="0.33900000000000002"/>
    <n v="4"/>
    <n v="100"/>
    <n v="1"/>
    <b v="0"/>
    <b v="0"/>
    <b v="0"/>
    <b v="0"/>
    <d v="2026-06-05T00:00:00"/>
    <n v="400"/>
    <n v="42990"/>
    <s v="Above ₹10,000"/>
    <s v="4.0–4.4"/>
    <x v="5"/>
  </r>
  <r>
    <s v="B0C783YNW7"/>
    <x v="490"/>
    <s v="Camera"/>
    <n v="24990"/>
    <n v="44999"/>
    <n v="0.44500000000000001"/>
    <n v="4.5999999999999996"/>
    <n v="4487"/>
    <n v="1"/>
    <b v="0"/>
    <b v="0"/>
    <b v="0"/>
    <b v="0"/>
    <d v="2026-06-05T00:00:00"/>
    <n v="20640.199999999997"/>
    <n v="24990"/>
    <s v="Above ₹10,000"/>
    <s v="4.5–5.0"/>
    <x v="5"/>
  </r>
  <r>
    <s v="B0CHZ1HF2Q"/>
    <x v="491"/>
    <s v="Camera"/>
    <n v="548"/>
    <n v="1999"/>
    <n v="0.72599999999999998"/>
    <n v="3.4"/>
    <n v="372"/>
    <n v="1"/>
    <b v="0"/>
    <b v="0"/>
    <b v="0"/>
    <b v="0"/>
    <d v="2026-06-05T00:00:00"/>
    <n v="1264.8"/>
    <n v="548"/>
    <s v="₹500–₹1,000"/>
    <s v="3.0–3.9"/>
    <x v="3"/>
  </r>
  <r>
    <s v="B0FH5H1144"/>
    <x v="492"/>
    <s v="Camera"/>
    <n v="919"/>
    <n v="1900"/>
    <n v="0.51600000000000001"/>
    <n v="3.8"/>
    <n v="258"/>
    <n v="1"/>
    <b v="0"/>
    <b v="0"/>
    <b v="0"/>
    <b v="0"/>
    <d v="2026-06-05T00:00:00"/>
    <n v="980.4"/>
    <n v="919"/>
    <s v="₹500–₹1,000"/>
    <s v="3.0–3.9"/>
    <x v="3"/>
  </r>
  <r>
    <s v="B0FMRJZT33"/>
    <x v="493"/>
    <s v="Camera"/>
    <n v="2699"/>
    <n v="4600"/>
    <n v="0.41299999999999998"/>
    <n v="3.4"/>
    <n v="252"/>
    <n v="1"/>
    <b v="0"/>
    <b v="0"/>
    <b v="0"/>
    <b v="1"/>
    <d v="2026-06-05T00:00:00"/>
    <n v="856.8"/>
    <n v="2699"/>
    <s v="₹1,000–₹5,000"/>
    <s v="3.0–3.9"/>
    <x v="5"/>
  </r>
  <r>
    <s v="B0FKMLFTY8"/>
    <x v="494"/>
    <s v="Camera"/>
    <n v="63990"/>
    <n v="72990"/>
    <n v="0.123"/>
    <n v="4.5999999999999996"/>
    <n v="39"/>
    <n v="1"/>
    <b v="0"/>
    <b v="0"/>
    <b v="0"/>
    <b v="0"/>
    <d v="2026-06-05T00:00:00"/>
    <n v="179.39999999999998"/>
    <n v="63990"/>
    <s v="Above ₹10,000"/>
    <s v="4.5–5.0"/>
    <x v="4"/>
  </r>
  <r>
    <s v="B0FK4RND9C"/>
    <x v="495"/>
    <s v="Camera"/>
    <n v="2199"/>
    <n v="3500"/>
    <n v="0.372"/>
    <n v="3.3"/>
    <n v="598"/>
    <n v="1"/>
    <b v="0"/>
    <b v="0"/>
    <b v="0"/>
    <b v="1"/>
    <d v="2026-06-05T00:00:00"/>
    <n v="1973.3999999999999"/>
    <n v="2199"/>
    <s v="₹1,000–₹5,000"/>
    <s v="3.0–3.9"/>
    <x v="5"/>
  </r>
  <r>
    <s v="B0FHQ9Q53J"/>
    <x v="496"/>
    <s v="Camera"/>
    <n v="589"/>
    <n v="799"/>
    <n v="0.26300000000000001"/>
    <n v="3.7"/>
    <n v="104"/>
    <n v="1"/>
    <b v="0"/>
    <b v="0"/>
    <b v="0"/>
    <b v="0"/>
    <d v="2026-06-05T00:00:00"/>
    <n v="384.8"/>
    <n v="589"/>
    <s v="₹500–₹1,000"/>
    <s v="3.0–3.9"/>
    <x v="2"/>
  </r>
  <r>
    <s v="B0GXZBY1GZ"/>
    <x v="497"/>
    <s v="Camera"/>
    <n v="899"/>
    <n v="4999"/>
    <n v="0.82"/>
    <n v="3.2"/>
    <n v="19"/>
    <n v="1"/>
    <b v="0"/>
    <b v="0"/>
    <b v="0"/>
    <b v="0"/>
    <d v="2026-06-05T00:00:00"/>
    <n v="60.800000000000004"/>
    <n v="899"/>
    <s v="₹500–₹1,000"/>
    <s v="3.0–3.9"/>
    <x v="3"/>
  </r>
  <r>
    <s v="B0G64NW2KQ"/>
    <x v="498"/>
    <s v="Camera"/>
    <n v="4990"/>
    <n v="7580"/>
    <n v="0.34200000000000003"/>
    <n v="3.8"/>
    <n v="168"/>
    <n v="1"/>
    <b v="0"/>
    <b v="0"/>
    <b v="0"/>
    <b v="0"/>
    <d v="2026-06-05T00:00:00"/>
    <n v="638.4"/>
    <n v="4990"/>
    <s v="₹1,000–₹5,000"/>
    <s v="3.0–3.9"/>
    <x v="5"/>
  </r>
  <r>
    <s v="B0BCW1S7XR"/>
    <x v="499"/>
    <s v="Camera"/>
    <n v="25990"/>
    <n v="51999"/>
    <n v="0.5"/>
    <n v="4.3"/>
    <n v="1524"/>
    <n v="1"/>
    <b v="0"/>
    <b v="0"/>
    <b v="0"/>
    <b v="0"/>
    <d v="2026-06-05T00:00:00"/>
    <n v="6553.2"/>
    <n v="25990"/>
    <s v="Above ₹10,000"/>
    <s v="4.0–4.4"/>
    <x v="3"/>
  </r>
  <r>
    <s v="B0D1YH4B2R"/>
    <x v="500"/>
    <s v="Camera"/>
    <n v="35990"/>
    <n v="40990"/>
    <n v="0.122"/>
    <n v="4.5"/>
    <n v="1691"/>
    <n v="1"/>
    <b v="0"/>
    <b v="0"/>
    <b v="0"/>
    <b v="0"/>
    <d v="2026-06-05T00:00:00"/>
    <n v="7609.5"/>
    <n v="35990"/>
    <s v="Above ₹10,000"/>
    <s v="4.5–5.0"/>
    <x v="4"/>
  </r>
  <r>
    <s v="B0DFY77JNM"/>
    <x v="501"/>
    <s v="Camera"/>
    <n v="1697"/>
    <n v="4399"/>
    <n v="0.61399999999999999"/>
    <n v="3.5"/>
    <n v="714"/>
    <n v="1"/>
    <b v="0"/>
    <b v="0"/>
    <b v="0"/>
    <b v="0"/>
    <d v="2026-06-05T00:00:00"/>
    <n v="2499"/>
    <n v="1697"/>
    <s v="₹1,000–₹5,000"/>
    <s v="3.0–3.9"/>
    <x v="3"/>
  </r>
  <r>
    <s v="B0GXVQQK3P"/>
    <x v="502"/>
    <s v="Camera"/>
    <n v="1989"/>
    <n v="3999"/>
    <n v="0.503"/>
    <n v="1.9"/>
    <n v="4"/>
    <n v="1"/>
    <b v="0"/>
    <b v="0"/>
    <b v="0"/>
    <b v="0"/>
    <d v="2026-06-05T00:00:00"/>
    <n v="7.6"/>
    <n v="1989"/>
    <s v="₹1,000–₹5,000"/>
    <s v="Below 2.0"/>
    <x v="3"/>
  </r>
  <r>
    <s v="B0G1XY42W7"/>
    <x v="503"/>
    <s v="Camera"/>
    <n v="1649"/>
    <n v="2499"/>
    <n v="0.34"/>
    <n v="4.7"/>
    <n v="4"/>
    <n v="1"/>
    <b v="0"/>
    <b v="0"/>
    <b v="0"/>
    <b v="0"/>
    <d v="2026-06-05T00:00:00"/>
    <n v="18.8"/>
    <n v="1649"/>
    <s v="₹1,000–₹5,000"/>
    <s v="4.5–5.0"/>
    <x v="5"/>
  </r>
  <r>
    <s v="B0CYGYCRH8"/>
    <x v="504"/>
    <s v="Camera"/>
    <n v="2490"/>
    <n v="4490"/>
    <n v="0.44500000000000001"/>
    <n v="3.6"/>
    <n v="5120"/>
    <n v="2"/>
    <b v="0"/>
    <b v="0"/>
    <b v="0"/>
    <b v="1"/>
    <d v="2026-06-05T00:00:00"/>
    <n v="18432"/>
    <n v="2490"/>
    <s v="₹1,000–₹5,000"/>
    <s v="3.0–3.9"/>
    <x v="5"/>
  </r>
  <r>
    <s v="B0DTK5596V"/>
    <x v="505"/>
    <s v="Camera"/>
    <n v="76490"/>
    <n v="89990"/>
    <n v="0.15"/>
    <n v="4.5999999999999996"/>
    <n v="90"/>
    <n v="1"/>
    <b v="0"/>
    <b v="0"/>
    <b v="0"/>
    <b v="0"/>
    <d v="2026-06-05T00:00:00"/>
    <n v="413.99999999999994"/>
    <n v="76490"/>
    <s v="Above ₹10,000"/>
    <s v="4.5–5.0"/>
    <x v="4"/>
  </r>
  <r>
    <s v="B0CG19FGQ5"/>
    <x v="506"/>
    <s v="Camera"/>
    <n v="59134"/>
    <n v="74990"/>
    <n v="0.21099999999999999"/>
    <n v="4.4000000000000004"/>
    <n v="6218"/>
    <n v="1"/>
    <b v="0"/>
    <b v="0"/>
    <b v="0"/>
    <b v="0"/>
    <d v="2026-06-05T00:00:00"/>
    <n v="27359.200000000001"/>
    <n v="59134"/>
    <s v="Above ₹10,000"/>
    <s v="4.0–4.4"/>
    <x v="2"/>
  </r>
  <r>
    <s v="B0DJC4NBV8"/>
    <x v="507"/>
    <s v="Camera"/>
    <n v="88000"/>
    <n v="94999"/>
    <n v="7.3999999999999996E-2"/>
    <n v="4.5"/>
    <n v="143"/>
    <n v="1"/>
    <b v="0"/>
    <b v="0"/>
    <b v="0"/>
    <b v="0"/>
    <d v="2026-06-05T00:00:00"/>
    <n v="643.5"/>
    <n v="88000"/>
    <s v="Above ₹10,000"/>
    <s v="4.5–5.0"/>
    <x v="0"/>
  </r>
  <r>
    <s v="B0GKG3TLF3"/>
    <x v="508"/>
    <s v="Camera"/>
    <n v="1599"/>
    <n v="3299"/>
    <n v="0.51500000000000001"/>
    <n v="4.3"/>
    <n v="4795"/>
    <n v="1"/>
    <b v="0"/>
    <b v="0"/>
    <b v="0"/>
    <b v="0"/>
    <d v="2026-06-05T00:00:00"/>
    <n v="20618.5"/>
    <n v="1599"/>
    <s v="₹1,000–₹5,000"/>
    <s v="4.0–4.4"/>
    <x v="3"/>
  </r>
  <r>
    <s v="B0BLLCJ963"/>
    <x v="509"/>
    <s v="Camera"/>
    <n v="28499"/>
    <n v="39999"/>
    <n v="0.28799999999999998"/>
    <n v="4"/>
    <n v="1034"/>
    <n v="1"/>
    <b v="0"/>
    <b v="0"/>
    <b v="0"/>
    <b v="0"/>
    <d v="2026-06-05T00:00:00"/>
    <n v="4136"/>
    <n v="28499"/>
    <s v="Above ₹10,000"/>
    <s v="4.0–4.4"/>
    <x v="2"/>
  </r>
  <r>
    <s v="B0GVJNKCTW"/>
    <x v="510"/>
    <s v="Camera"/>
    <n v="2979"/>
    <n v="4999"/>
    <n v="0.40400000000000003"/>
    <n v="4"/>
    <n v="2"/>
    <n v="1"/>
    <b v="0"/>
    <b v="0"/>
    <b v="0"/>
    <b v="0"/>
    <d v="2026-06-05T00:00:00"/>
    <n v="8"/>
    <n v="2979"/>
    <s v="₹1,000–₹5,000"/>
    <s v="4.0–4.4"/>
    <x v="5"/>
  </r>
  <r>
    <s v="B0GXYYQJ2M"/>
    <x v="511"/>
    <s v="Camera"/>
    <n v="2410"/>
    <n v="2799"/>
    <n v="0.13900000000000001"/>
    <n v="2.7"/>
    <n v="16"/>
    <n v="1"/>
    <b v="0"/>
    <b v="0"/>
    <b v="0"/>
    <b v="0"/>
    <d v="2026-06-05T00:00:00"/>
    <n v="43.2"/>
    <n v="2410"/>
    <s v="₹1,000–₹5,000"/>
    <s v="2.0–2.9"/>
    <x v="4"/>
  </r>
  <r>
    <s v="B09B84729K"/>
    <x v="512"/>
    <s v="Camera"/>
    <n v="1117486"/>
    <n v="1409912"/>
    <n v="0.20699999999999999"/>
    <n v="5"/>
    <n v="5"/>
    <n v="1"/>
    <b v="0"/>
    <b v="0"/>
    <b v="0"/>
    <b v="0"/>
    <d v="2026-06-05T00:00:00"/>
    <n v="25"/>
    <n v="1117486"/>
    <s v="Above ₹10,000"/>
    <s v="4.5–5.0"/>
    <x v="2"/>
  </r>
  <r>
    <s v="B0FN4RBZ6G"/>
    <x v="513"/>
    <s v="Camera"/>
    <n v="1678"/>
    <n v="3999"/>
    <n v="0.57999999999999996"/>
    <n v="3.7"/>
    <n v="70"/>
    <n v="1"/>
    <b v="0"/>
    <b v="0"/>
    <b v="0"/>
    <b v="0"/>
    <d v="2026-06-05T00:00:00"/>
    <n v="259"/>
    <n v="1678"/>
    <s v="₹1,000–₹5,000"/>
    <s v="3.0–3.9"/>
    <x v="3"/>
  </r>
  <r>
    <s v="B07NF5PT84"/>
    <x v="514"/>
    <s v="Camera"/>
    <n v="91490"/>
    <n v="116490"/>
    <n v="0.215"/>
    <n v="4.7"/>
    <n v="195"/>
    <n v="1"/>
    <b v="0"/>
    <b v="0"/>
    <b v="0"/>
    <b v="0"/>
    <d v="2026-06-05T00:00:00"/>
    <n v="916.5"/>
    <n v="91490"/>
    <s v="Above ₹10,000"/>
    <s v="4.5–5.0"/>
    <x v="2"/>
  </r>
  <r>
    <s v="B07VGHW91J"/>
    <x v="515"/>
    <s v="Camera"/>
    <n v="264990"/>
    <n v="297990"/>
    <n v="0.111"/>
    <n v="4.5999999999999996"/>
    <n v="245"/>
    <n v="1"/>
    <b v="0"/>
    <b v="0"/>
    <b v="0"/>
    <b v="0"/>
    <d v="2026-06-05T00:00:00"/>
    <n v="1127"/>
    <n v="264990"/>
    <s v="Above ₹10,000"/>
    <s v="4.5–5.0"/>
    <x v="4"/>
  </r>
  <r>
    <s v="B0GRH88VYL"/>
    <x v="516"/>
    <s v="Camera"/>
    <n v="1889"/>
    <n v="2999"/>
    <n v="0.37"/>
    <n v="3.9"/>
    <n v="12"/>
    <n v="1"/>
    <b v="0"/>
    <b v="0"/>
    <b v="0"/>
    <b v="0"/>
    <d v="2026-06-05T00:00:00"/>
    <n v="46.8"/>
    <n v="1889"/>
    <s v="₹1,000–₹5,000"/>
    <s v="3.0–3.9"/>
    <x v="5"/>
  </r>
  <r>
    <s v="B0C3HXLYFS"/>
    <x v="517"/>
    <s v="Camera"/>
    <n v="944"/>
    <n v="3200"/>
    <n v="0.70499999999999996"/>
    <n v="3.9"/>
    <n v="305"/>
    <n v="7"/>
    <b v="0"/>
    <b v="0"/>
    <b v="0"/>
    <b v="0"/>
    <d v="2026-06-05T00:00:00"/>
    <n v="1189.5"/>
    <n v="944"/>
    <s v="₹500–₹1,000"/>
    <s v="3.0–3.9"/>
    <x v="3"/>
  </r>
  <r>
    <s v="B0B2KV6D97"/>
    <x v="518"/>
    <s v="Camera"/>
    <n v="102890"/>
    <n v="119995"/>
    <n v="0.14299999999999999"/>
    <n v="4.7"/>
    <n v="268"/>
    <n v="1"/>
    <b v="0"/>
    <b v="0"/>
    <b v="0"/>
    <b v="0"/>
    <d v="2026-06-05T00:00:00"/>
    <n v="1259.6000000000001"/>
    <n v="102890"/>
    <s v="Above ₹10,000"/>
    <s v="4.5–5.0"/>
    <x v="4"/>
  </r>
  <r>
    <s v="B0GKPNC2NR"/>
    <x v="519"/>
    <s v="Camera"/>
    <n v="7999"/>
    <n v="14999"/>
    <n v="0.46700000000000003"/>
    <n v="2.4"/>
    <n v="5"/>
    <n v="1"/>
    <b v="0"/>
    <b v="0"/>
    <b v="0"/>
    <b v="0"/>
    <d v="2026-06-05T00:00:00"/>
    <n v="12"/>
    <n v="7999"/>
    <s v="₹5,000–₹10,000"/>
    <s v="2.0–2.9"/>
    <x v="5"/>
  </r>
  <r>
    <s v="B0CBQR21K3"/>
    <x v="520"/>
    <s v="Camera"/>
    <n v="1005481"/>
    <n v="1055481"/>
    <n v="4.7E-2"/>
    <n v="5"/>
    <n v="1"/>
    <n v="1"/>
    <b v="0"/>
    <b v="0"/>
    <b v="0"/>
    <b v="0"/>
    <d v="2026-06-05T00:00:00"/>
    <n v="5"/>
    <n v="1005481"/>
    <s v="Above ₹10,000"/>
    <s v="4.5–5.0"/>
    <x v="0"/>
  </r>
  <r>
    <s v="B0DW49ZB6Y"/>
    <x v="521"/>
    <s v="Camera"/>
    <n v="599999"/>
    <n v="630995"/>
    <n v="4.9000000000000002E-2"/>
    <n v="3.7"/>
    <n v="3"/>
    <n v="1"/>
    <b v="0"/>
    <b v="0"/>
    <b v="0"/>
    <b v="0"/>
    <d v="2026-06-05T00:00:00"/>
    <n v="11.100000000000001"/>
    <n v="599999"/>
    <s v="Above ₹10,000"/>
    <s v="3.0–3.9"/>
    <x v="0"/>
  </r>
  <r>
    <s v="B0GRVB1X7Z"/>
    <x v="522"/>
    <s v="Camera"/>
    <n v="1489"/>
    <n v="2499"/>
    <n v="0.40400000000000003"/>
    <n v="3.8"/>
    <n v="3"/>
    <n v="1"/>
    <b v="0"/>
    <b v="0"/>
    <b v="0"/>
    <b v="0"/>
    <d v="2026-06-05T00:00:00"/>
    <n v="11.399999999999999"/>
    <n v="1489"/>
    <s v="₹1,000–₹5,000"/>
    <s v="3.0–3.9"/>
    <x v="5"/>
  </r>
  <r>
    <s v="B0FRRRNVPX"/>
    <x v="523"/>
    <s v="Camera"/>
    <n v="18970"/>
    <n v="32999"/>
    <n v="0.42499999999999999"/>
    <n v="4.4000000000000004"/>
    <n v="73"/>
    <n v="1"/>
    <b v="0"/>
    <b v="0"/>
    <b v="0"/>
    <b v="0"/>
    <d v="2026-06-05T00:00:00"/>
    <n v="321.20000000000005"/>
    <n v="18970"/>
    <s v="Above ₹10,000"/>
    <s v="4.0–4.4"/>
    <x v="5"/>
  </r>
  <r>
    <s v="B0F1XQX7M4"/>
    <x v="524"/>
    <s v="Gaming Console"/>
    <n v="581"/>
    <n v="1299"/>
    <n v="0.55300000000000005"/>
    <n v="3.4"/>
    <n v="1210"/>
    <n v="1"/>
    <b v="0"/>
    <b v="0"/>
    <b v="0"/>
    <b v="0"/>
    <d v="2026-06-05T00:00:00"/>
    <n v="4114"/>
    <n v="581"/>
    <s v="₹500–₹1,000"/>
    <s v="3.0–3.9"/>
    <x v="3"/>
  </r>
  <r>
    <s v="B0GCTMJ81F"/>
    <x v="525"/>
    <s v="Gaming Console"/>
    <n v="1999"/>
    <n v="3999"/>
    <n v="0.5"/>
    <n v="4"/>
    <n v="10"/>
    <n v="1"/>
    <b v="0"/>
    <b v="0"/>
    <b v="0"/>
    <b v="0"/>
    <d v="2026-06-05T00:00:00"/>
    <n v="40"/>
    <n v="1999"/>
    <s v="₹1,000–₹5,000"/>
    <s v="4.0–4.4"/>
    <x v="3"/>
  </r>
  <r>
    <s v="B0GYS94ZFJ"/>
    <x v="526"/>
    <s v="Gaming Console"/>
    <n v="785"/>
    <n v="1299"/>
    <n v="0.39600000000000002"/>
    <n v="4.2"/>
    <n v="43"/>
    <n v="1"/>
    <b v="0"/>
    <b v="0"/>
    <b v="0"/>
    <b v="0"/>
    <d v="2026-06-05T00:00:00"/>
    <n v="180.6"/>
    <n v="785"/>
    <s v="₹500–₹1,000"/>
    <s v="4.0–4.4"/>
    <x v="5"/>
  </r>
  <r>
    <s v="B0GKFM3848"/>
    <x v="527"/>
    <s v="Gaming Console"/>
    <n v="580"/>
    <n v="999"/>
    <n v="0.41899999999999998"/>
    <n v="3.6"/>
    <n v="100"/>
    <n v="1"/>
    <b v="0"/>
    <b v="0"/>
    <b v="0"/>
    <b v="0"/>
    <d v="2026-06-05T00:00:00"/>
    <n v="360"/>
    <n v="580"/>
    <s v="₹500–₹1,000"/>
    <s v="3.0–3.9"/>
    <x v="5"/>
  </r>
  <r>
    <s v="B0GF8SBBY5"/>
    <x v="528"/>
    <s v="Gaming Console"/>
    <n v="3397"/>
    <n v="5999"/>
    <n v="0.434"/>
    <m/>
    <n v="0"/>
    <n v="1"/>
    <b v="0"/>
    <b v="0"/>
    <b v="0"/>
    <b v="0"/>
    <d v="2026-06-05T00:00:00"/>
    <s v=""/>
    <n v="3397"/>
    <s v="₹1,000–₹5,000"/>
    <s v="Not Rated"/>
    <x v="5"/>
  </r>
  <r>
    <s v="B0DRSRVQ4C"/>
    <x v="529"/>
    <s v="Gaming Console"/>
    <n v="756"/>
    <n v="999"/>
    <n v="0.24299999999999999"/>
    <m/>
    <n v="0"/>
    <n v="1"/>
    <b v="0"/>
    <b v="0"/>
    <b v="0"/>
    <b v="0"/>
    <d v="2026-06-05T00:00:00"/>
    <s v=""/>
    <n v="756"/>
    <s v="₹500–₹1,000"/>
    <s v="Not Rated"/>
    <x v="2"/>
  </r>
  <r>
    <s v="B0H2RSS17L"/>
    <x v="530"/>
    <s v="Gaming Console"/>
    <n v="3399"/>
    <n v="5000"/>
    <n v="0.32"/>
    <n v="4.2"/>
    <n v="8"/>
    <n v="1"/>
    <b v="0"/>
    <b v="0"/>
    <b v="0"/>
    <b v="0"/>
    <d v="2026-06-05T00:00:00"/>
    <n v="33.6"/>
    <n v="3399"/>
    <s v="₹1,000–₹5,000"/>
    <s v="4.0–4.4"/>
    <x v="5"/>
  </r>
  <r>
    <s v="B0GZ9V61JJ"/>
    <x v="531"/>
    <s v="Gaming Console"/>
    <n v="3499"/>
    <n v="5500"/>
    <n v="0.36399999999999999"/>
    <n v="5"/>
    <n v="6"/>
    <n v="1"/>
    <b v="0"/>
    <b v="0"/>
    <b v="0"/>
    <b v="0"/>
    <d v="2026-06-05T00:00:00"/>
    <n v="30"/>
    <n v="3499"/>
    <s v="₹1,000–₹5,000"/>
    <s v="4.5–5.0"/>
    <x v="5"/>
  </r>
  <r>
    <s v="B0F88PKHKF"/>
    <x v="532"/>
    <s v="Gaming Console"/>
    <n v="1995"/>
    <n v="4998"/>
    <n v="0.60099999999999998"/>
    <n v="3.7"/>
    <n v="413"/>
    <n v="1"/>
    <b v="0"/>
    <b v="0"/>
    <b v="0"/>
    <b v="0"/>
    <d v="2026-06-05T00:00:00"/>
    <n v="1528.1000000000001"/>
    <n v="1995"/>
    <s v="₹1,000–₹5,000"/>
    <s v="3.0–3.9"/>
    <x v="3"/>
  </r>
  <r>
    <s v="B0H2RMLPRT"/>
    <x v="533"/>
    <s v="Gaming Console"/>
    <n v="3349"/>
    <n v="5000"/>
    <n v="0.33"/>
    <n v="4.2"/>
    <n v="8"/>
    <n v="1"/>
    <b v="0"/>
    <b v="0"/>
    <b v="0"/>
    <b v="0"/>
    <d v="2026-06-05T00:00:00"/>
    <n v="33.6"/>
    <n v="3349"/>
    <s v="₹1,000–₹5,000"/>
    <s v="4.0–4.4"/>
    <x v="5"/>
  </r>
  <r>
    <s v="B0FQPHYPBJ"/>
    <x v="534"/>
    <s v="Gaming Console"/>
    <n v="545"/>
    <n v="1999"/>
    <n v="0.72699999999999998"/>
    <n v="3.9"/>
    <n v="37"/>
    <n v="1"/>
    <b v="0"/>
    <b v="0"/>
    <b v="0"/>
    <b v="0"/>
    <d v="2026-06-05T00:00:00"/>
    <n v="144.29999999999998"/>
    <n v="545"/>
    <s v="₹500–₹1,000"/>
    <s v="3.0–3.9"/>
    <x v="3"/>
  </r>
  <r>
    <s v="B0CMJDVH1N"/>
    <x v="535"/>
    <s v="Gaming Console"/>
    <n v="3599"/>
    <n v="4990"/>
    <n v="0.27900000000000003"/>
    <n v="3.2"/>
    <n v="125"/>
    <n v="1"/>
    <b v="0"/>
    <b v="0"/>
    <b v="0"/>
    <b v="0"/>
    <d v="2026-06-05T00:00:00"/>
    <n v="400"/>
    <n v="3599"/>
    <s v="₹1,000–₹5,000"/>
    <s v="3.0–3.9"/>
    <x v="2"/>
  </r>
  <r>
    <s v="B0GT1BSNLL"/>
    <x v="536"/>
    <s v="Gaming Console"/>
    <n v="4899"/>
    <n v="8999"/>
    <n v="0.45600000000000002"/>
    <n v="4.5999999999999996"/>
    <n v="10"/>
    <n v="1"/>
    <b v="0"/>
    <b v="0"/>
    <b v="1"/>
    <b v="0"/>
    <d v="2026-06-05T00:00:00"/>
    <n v="46"/>
    <n v="4899"/>
    <s v="₹1,000–₹5,000"/>
    <s v="4.5–5.0"/>
    <x v="5"/>
  </r>
  <r>
    <s v="B0FYWSTM4J"/>
    <x v="537"/>
    <s v="Gaming Console"/>
    <n v="673"/>
    <n v="2999"/>
    <n v="0.77600000000000002"/>
    <n v="3.4"/>
    <n v="17"/>
    <n v="1"/>
    <b v="0"/>
    <b v="0"/>
    <b v="0"/>
    <b v="0"/>
    <d v="2026-06-05T00:00:00"/>
    <n v="57.8"/>
    <n v="673"/>
    <s v="₹500–₹1,000"/>
    <s v="3.0–3.9"/>
    <x v="3"/>
  </r>
  <r>
    <s v="B0GQHL1W8Q"/>
    <x v="538"/>
    <s v="Gaming Console"/>
    <n v="1208"/>
    <n v="1599"/>
    <n v="0.245"/>
    <n v="2.8"/>
    <n v="2"/>
    <n v="1"/>
    <b v="0"/>
    <b v="0"/>
    <b v="0"/>
    <b v="0"/>
    <d v="2026-06-05T00:00:00"/>
    <n v="5.6"/>
    <n v="1208"/>
    <s v="₹1,000–₹5,000"/>
    <s v="2.0–2.9"/>
    <x v="2"/>
  </r>
  <r>
    <s v="B0FG2QY14B"/>
    <x v="539"/>
    <s v="Gaming Console"/>
    <n v="4950"/>
    <n v="6990"/>
    <n v="0.29199999999999998"/>
    <n v="3.8"/>
    <n v="62"/>
    <n v="1"/>
    <b v="0"/>
    <b v="0"/>
    <b v="0"/>
    <b v="0"/>
    <d v="2026-06-05T00:00:00"/>
    <n v="235.6"/>
    <n v="4950"/>
    <s v="₹1,000–₹5,000"/>
    <s v="3.0–3.9"/>
    <x v="2"/>
  </r>
  <r>
    <s v="B0DSVVCM9D"/>
    <x v="540"/>
    <s v="Gaming Console"/>
    <n v="1199"/>
    <n v="1599"/>
    <n v="0.25"/>
    <n v="3.9"/>
    <n v="267"/>
    <n v="1"/>
    <b v="0"/>
    <b v="0"/>
    <b v="0"/>
    <b v="0"/>
    <d v="2026-06-05T00:00:00"/>
    <n v="1041.3"/>
    <n v="1199"/>
    <s v="₹1,000–₹5,000"/>
    <s v="3.0–3.9"/>
    <x v="2"/>
  </r>
  <r>
    <s v="B0DKT7VBFM"/>
    <x v="541"/>
    <s v="Gaming Console"/>
    <n v="776"/>
    <n v="999"/>
    <n v="0.223"/>
    <n v="3.7"/>
    <n v="48"/>
    <n v="1"/>
    <b v="0"/>
    <b v="0"/>
    <b v="0"/>
    <b v="0"/>
    <d v="2026-06-05T00:00:00"/>
    <n v="177.60000000000002"/>
    <n v="776"/>
    <s v="₹500–₹1,000"/>
    <s v="3.0–3.9"/>
    <x v="2"/>
  </r>
  <r>
    <s v="B0G6ZZZ3XV"/>
    <x v="542"/>
    <s v="Gaming Console"/>
    <n v="999"/>
    <n v="1999"/>
    <n v="0.5"/>
    <n v="4.3"/>
    <n v="6"/>
    <n v="1"/>
    <b v="0"/>
    <b v="0"/>
    <b v="0"/>
    <b v="0"/>
    <d v="2026-06-05T00:00:00"/>
    <n v="25.799999999999997"/>
    <n v="999"/>
    <s v="₹500–₹1,000"/>
    <s v="4.0–4.4"/>
    <x v="3"/>
  </r>
  <r>
    <s v="B0FPQQD7C7"/>
    <x v="543"/>
    <s v="Gaming Console"/>
    <n v="6199"/>
    <n v="9999"/>
    <n v="0.38"/>
    <n v="3.7"/>
    <n v="18"/>
    <n v="1"/>
    <b v="0"/>
    <b v="0"/>
    <b v="0"/>
    <b v="0"/>
    <d v="2026-06-05T00:00:00"/>
    <n v="66.600000000000009"/>
    <n v="6199"/>
    <s v="₹5,000–₹10,000"/>
    <s v="3.0–3.9"/>
    <x v="5"/>
  </r>
  <r>
    <s v="B0G38HMV1B"/>
    <x v="544"/>
    <s v="Gaming Console"/>
    <n v="898"/>
    <n v="1349"/>
    <n v="0.33400000000000002"/>
    <n v="3.8"/>
    <n v="56"/>
    <n v="1"/>
    <b v="0"/>
    <b v="0"/>
    <b v="0"/>
    <b v="0"/>
    <d v="2026-06-05T00:00:00"/>
    <n v="212.79999999999998"/>
    <n v="898"/>
    <s v="₹500–₹1,000"/>
    <s v="3.0–3.9"/>
    <x v="5"/>
  </r>
  <r>
    <s v="B0FQDWFHWW"/>
    <x v="545"/>
    <s v="Gaming Console"/>
    <n v="1999"/>
    <n v="3999"/>
    <n v="0.5"/>
    <n v="3.2"/>
    <n v="35"/>
    <n v="1"/>
    <b v="0"/>
    <b v="0"/>
    <b v="0"/>
    <b v="0"/>
    <d v="2026-06-05T00:00:00"/>
    <n v="112"/>
    <n v="1999"/>
    <s v="₹1,000–₹5,000"/>
    <s v="3.0–3.9"/>
    <x v="3"/>
  </r>
  <r>
    <s v="B0F2LZHDZ2"/>
    <x v="546"/>
    <s v="Gaming Console"/>
    <n v="679"/>
    <n v="999"/>
    <n v="0.32"/>
    <n v="3.7"/>
    <n v="246"/>
    <n v="1"/>
    <b v="0"/>
    <b v="0"/>
    <b v="0"/>
    <b v="0"/>
    <d v="2026-06-05T00:00:00"/>
    <n v="910.2"/>
    <n v="679"/>
    <s v="₹500–₹1,000"/>
    <s v="3.0–3.9"/>
    <x v="5"/>
  </r>
  <r>
    <s v="B0GL7P1QL9"/>
    <x v="547"/>
    <s v="Gaming Console"/>
    <n v="2289"/>
    <n v="4999"/>
    <n v="0.54200000000000004"/>
    <n v="2.1"/>
    <n v="17"/>
    <n v="1"/>
    <b v="0"/>
    <b v="0"/>
    <b v="0"/>
    <b v="0"/>
    <d v="2026-06-05T00:00:00"/>
    <n v="35.700000000000003"/>
    <n v="2289"/>
    <s v="₹1,000–₹5,000"/>
    <s v="2.0–2.9"/>
    <x v="3"/>
  </r>
  <r>
    <s v="B0GT9SCQZN"/>
    <x v="548"/>
    <s v="Gaming Console"/>
    <n v="4799"/>
    <n v="8399"/>
    <n v="0.42899999999999999"/>
    <n v="2"/>
    <n v="2"/>
    <n v="1"/>
    <b v="0"/>
    <b v="0"/>
    <b v="0"/>
    <b v="0"/>
    <d v="2026-06-05T00:00:00"/>
    <n v="4"/>
    <n v="4799"/>
    <s v="₹1,000–₹5,000"/>
    <s v="2.0–2.9"/>
    <x v="5"/>
  </r>
  <r>
    <s v="B0G1GYMRV4"/>
    <x v="549"/>
    <s v="Gaming Console"/>
    <n v="899"/>
    <n v="999"/>
    <n v="0.1"/>
    <n v="3"/>
    <n v="39"/>
    <n v="1"/>
    <b v="0"/>
    <b v="0"/>
    <b v="0"/>
    <b v="0"/>
    <d v="2026-06-05T00:00:00"/>
    <n v="117"/>
    <n v="899"/>
    <s v="₹500–₹1,000"/>
    <s v="3.0–3.9"/>
    <x v="4"/>
  </r>
  <r>
    <s v="B0G4NF9JQG"/>
    <x v="550"/>
    <s v="Gaming Console"/>
    <n v="2299"/>
    <n v="3999"/>
    <n v="0.42499999999999999"/>
    <n v="3.4"/>
    <n v="3"/>
    <n v="1"/>
    <b v="0"/>
    <b v="0"/>
    <b v="0"/>
    <b v="0"/>
    <d v="2026-06-05T00:00:00"/>
    <n v="10.199999999999999"/>
    <n v="2299"/>
    <s v="₹1,000–₹5,000"/>
    <s v="3.0–3.9"/>
    <x v="5"/>
  </r>
  <r>
    <s v="B0D8VVH9CS"/>
    <x v="551"/>
    <s v="Gaming Console"/>
    <n v="899"/>
    <n v="1999"/>
    <n v="0.55000000000000004"/>
    <n v="3.6"/>
    <n v="17"/>
    <n v="1"/>
    <b v="0"/>
    <b v="0"/>
    <b v="0"/>
    <b v="0"/>
    <d v="2026-06-05T00:00:00"/>
    <n v="61.2"/>
    <n v="899"/>
    <s v="₹500–₹1,000"/>
    <s v="3.0–3.9"/>
    <x v="3"/>
  </r>
  <r>
    <s v="B0F6N212VV"/>
    <x v="552"/>
    <s v="Gaming Console"/>
    <n v="3298"/>
    <n v="7999"/>
    <n v="0.58799999999999997"/>
    <n v="3"/>
    <n v="30"/>
    <n v="1"/>
    <b v="0"/>
    <b v="0"/>
    <b v="0"/>
    <b v="0"/>
    <d v="2026-06-05T00:00:00"/>
    <n v="90"/>
    <n v="3298"/>
    <s v="₹1,000–₹5,000"/>
    <s v="3.0–3.9"/>
    <x v="3"/>
  </r>
  <r>
    <s v="B09GPGJZN5"/>
    <x v="553"/>
    <s v="Gaming Console"/>
    <n v="1899"/>
    <n v="3999"/>
    <n v="0.52500000000000002"/>
    <n v="3.2"/>
    <n v="113"/>
    <n v="1"/>
    <b v="0"/>
    <b v="0"/>
    <b v="0"/>
    <b v="0"/>
    <d v="2026-06-05T00:00:00"/>
    <n v="361.6"/>
    <n v="1899"/>
    <s v="₹1,000–₹5,000"/>
    <s v="3.0–3.9"/>
    <x v="3"/>
  </r>
  <r>
    <s v="B0D4J24X5C"/>
    <x v="554"/>
    <s v="Gaming Console"/>
    <n v="797"/>
    <n v="1999"/>
    <n v="0.60099999999999998"/>
    <n v="3.4"/>
    <n v="133"/>
    <n v="1"/>
    <b v="0"/>
    <b v="0"/>
    <b v="0"/>
    <b v="0"/>
    <d v="2026-06-05T00:00:00"/>
    <n v="452.2"/>
    <n v="797"/>
    <s v="₹500–₹1,000"/>
    <s v="3.0–3.9"/>
    <x v="3"/>
  </r>
  <r>
    <s v="B0FPQM4CCB"/>
    <x v="555"/>
    <s v="Gaming Console"/>
    <n v="2499"/>
    <n v="4999"/>
    <n v="0.5"/>
    <n v="3.2"/>
    <n v="127"/>
    <n v="1"/>
    <b v="0"/>
    <b v="0"/>
    <b v="0"/>
    <b v="0"/>
    <d v="2026-06-05T00:00:00"/>
    <n v="406.40000000000003"/>
    <n v="2499"/>
    <s v="₹1,000–₹5,000"/>
    <s v="3.0–3.9"/>
    <x v="3"/>
  </r>
  <r>
    <s v="B0GTNSXTDZ"/>
    <x v="556"/>
    <s v="Gaming Console"/>
    <n v="631"/>
    <n v="899"/>
    <n v="0.29799999999999999"/>
    <m/>
    <n v="0"/>
    <n v="1"/>
    <b v="0"/>
    <b v="0"/>
    <b v="0"/>
    <b v="0"/>
    <d v="2026-06-05T00:00:00"/>
    <s v=""/>
    <n v="631"/>
    <s v="₹500–₹1,000"/>
    <s v="Not Rated"/>
    <x v="2"/>
  </r>
  <r>
    <s v="B0FSDNXVG8"/>
    <x v="557"/>
    <s v="Gaming Console"/>
    <n v="59990"/>
    <n v="83990"/>
    <n v="0.28599999999999998"/>
    <n v="4.3"/>
    <n v="36"/>
    <n v="1"/>
    <b v="0"/>
    <b v="0"/>
    <b v="0"/>
    <b v="0"/>
    <d v="2026-06-05T00:00:00"/>
    <n v="154.79999999999998"/>
    <n v="59990"/>
    <s v="Above ₹10,000"/>
    <s v="4.0–4.4"/>
    <x v="2"/>
  </r>
  <r>
    <s v="B0H36W8FDH"/>
    <x v="558"/>
    <s v="Gaming Console"/>
    <n v="649"/>
    <n v="1599"/>
    <n v="0.59399999999999997"/>
    <m/>
    <n v="0"/>
    <n v="1"/>
    <b v="0"/>
    <b v="0"/>
    <b v="0"/>
    <b v="0"/>
    <d v="2026-06-05T00:00:00"/>
    <s v=""/>
    <n v="649"/>
    <s v="₹500–₹1,000"/>
    <s v="Not Rated"/>
    <x v="3"/>
  </r>
  <r>
    <s v="B0GZSGRF2V"/>
    <x v="559"/>
    <s v="Gaming Console"/>
    <n v="4499"/>
    <n v="6990"/>
    <n v="0.35599999999999998"/>
    <n v="5"/>
    <n v="1"/>
    <n v="1"/>
    <b v="0"/>
    <b v="0"/>
    <b v="0"/>
    <b v="0"/>
    <d v="2026-06-05T00:00:00"/>
    <n v="5"/>
    <n v="4499"/>
    <s v="₹1,000–₹5,000"/>
    <s v="4.5–5.0"/>
    <x v="5"/>
  </r>
  <r>
    <s v="B0GJ5D3M5L"/>
    <x v="560"/>
    <s v="Gaming Console"/>
    <n v="3999"/>
    <n v="9999"/>
    <n v="0.6"/>
    <n v="4.5999999999999996"/>
    <n v="4"/>
    <n v="1"/>
    <b v="0"/>
    <b v="0"/>
    <b v="0"/>
    <b v="0"/>
    <d v="2026-06-05T00:00:00"/>
    <n v="18.399999999999999"/>
    <n v="3999"/>
    <s v="₹1,000–₹5,000"/>
    <s v="4.5–5.0"/>
    <x v="3"/>
  </r>
  <r>
    <s v="B0FFZKFRDH"/>
    <x v="561"/>
    <s v="Gaming Console"/>
    <n v="599"/>
    <n v="2499"/>
    <n v="0.76"/>
    <n v="3.1"/>
    <n v="45"/>
    <n v="1"/>
    <b v="0"/>
    <b v="0"/>
    <b v="0"/>
    <b v="0"/>
    <d v="2026-06-05T00:00:00"/>
    <n v="139.5"/>
    <n v="599"/>
    <s v="₹500–₹1,000"/>
    <s v="3.0–3.9"/>
    <x v="3"/>
  </r>
  <r>
    <s v="B0G5GS24GN"/>
    <x v="562"/>
    <s v="Gaming Console"/>
    <n v="4255"/>
    <n v="5999"/>
    <n v="0.29099999999999998"/>
    <n v="4"/>
    <n v="1"/>
    <n v="1"/>
    <b v="0"/>
    <b v="0"/>
    <b v="0"/>
    <b v="0"/>
    <d v="2026-06-05T00:00:00"/>
    <n v="4"/>
    <n v="4255"/>
    <s v="₹1,000–₹5,000"/>
    <s v="4.0–4.4"/>
    <x v="2"/>
  </r>
  <r>
    <s v="B0FPFXCKF1"/>
    <x v="563"/>
    <s v="Gaming Console"/>
    <n v="679"/>
    <n v="1299"/>
    <n v="0.47699999999999998"/>
    <n v="3.5"/>
    <n v="25"/>
    <n v="1"/>
    <b v="0"/>
    <b v="0"/>
    <b v="0"/>
    <b v="0"/>
    <d v="2026-06-05T00:00:00"/>
    <n v="87.5"/>
    <n v="679"/>
    <s v="₹500–₹1,000"/>
    <s v="3.0–3.9"/>
    <x v="5"/>
  </r>
  <r>
    <s v="B0DYKCD2GV"/>
    <x v="564"/>
    <s v="Gaming Console"/>
    <n v="4985"/>
    <n v="9990"/>
    <n v="0.501"/>
    <n v="4"/>
    <n v="69"/>
    <n v="1"/>
    <b v="0"/>
    <b v="0"/>
    <b v="0"/>
    <b v="0"/>
    <d v="2026-06-05T00:00:00"/>
    <n v="276"/>
    <n v="4985"/>
    <s v="₹1,000–₹5,000"/>
    <s v="4.0–4.4"/>
    <x v="3"/>
  </r>
  <r>
    <s v="B0FNKLG46G"/>
    <x v="565"/>
    <s v="Gaming Console"/>
    <n v="1899"/>
    <n v="3999"/>
    <n v="0.52500000000000002"/>
    <n v="3"/>
    <n v="2"/>
    <n v="1"/>
    <b v="0"/>
    <b v="0"/>
    <b v="0"/>
    <b v="0"/>
    <d v="2026-06-05T00:00:00"/>
    <n v="6"/>
    <n v="1899"/>
    <s v="₹1,000–₹5,000"/>
    <s v="3.0–3.9"/>
    <x v="3"/>
  </r>
  <r>
    <s v="B0GPCXQM4Y"/>
    <x v="566"/>
    <s v="Gaming Console"/>
    <n v="525"/>
    <n v="999"/>
    <n v="0.47399999999999998"/>
    <n v="3"/>
    <n v="5"/>
    <n v="1"/>
    <b v="0"/>
    <b v="0"/>
    <b v="0"/>
    <b v="0"/>
    <d v="2026-06-05T00:00:00"/>
    <n v="15"/>
    <n v="525"/>
    <s v="₹500–₹1,000"/>
    <s v="3.0–3.9"/>
    <x v="5"/>
  </r>
  <r>
    <s v="B0GZSBDYNF"/>
    <x v="567"/>
    <s v="Gaming Console"/>
    <n v="4499"/>
    <n v="6990"/>
    <n v="0.35599999999999998"/>
    <n v="5"/>
    <n v="1"/>
    <n v="1"/>
    <b v="0"/>
    <b v="0"/>
    <b v="0"/>
    <b v="0"/>
    <d v="2026-06-05T00:00:00"/>
    <n v="5"/>
    <n v="4499"/>
    <s v="₹1,000–₹5,000"/>
    <s v="4.5–5.0"/>
    <x v="5"/>
  </r>
  <r>
    <s v="B0FYQG2KGX"/>
    <x v="568"/>
    <s v="Gaming Console"/>
    <n v="4990"/>
    <n v="6990"/>
    <n v="0.28599999999999998"/>
    <n v="3.5"/>
    <n v="2"/>
    <n v="1"/>
    <b v="0"/>
    <b v="0"/>
    <b v="0"/>
    <b v="0"/>
    <d v="2026-06-05T00:00:00"/>
    <n v="7"/>
    <n v="4990"/>
    <s v="₹1,000–₹5,000"/>
    <s v="3.0–3.9"/>
    <x v="2"/>
  </r>
  <r>
    <s v="B0FMRF49MG"/>
    <x v="569"/>
    <s v="Gaming Console"/>
    <n v="2539"/>
    <n v="2999"/>
    <n v="0.153"/>
    <n v="2.6"/>
    <n v="9"/>
    <n v="1"/>
    <b v="0"/>
    <b v="0"/>
    <b v="0"/>
    <b v="0"/>
    <d v="2026-06-05T00:00:00"/>
    <n v="23.400000000000002"/>
    <n v="2539"/>
    <s v="₹1,000–₹5,000"/>
    <s v="2.0–2.9"/>
    <x v="4"/>
  </r>
  <r>
    <s v="B0GHX1T4QN"/>
    <x v="570"/>
    <s v="Gaming Console"/>
    <n v="545"/>
    <n v="1999"/>
    <n v="0.72699999999999998"/>
    <n v="4"/>
    <n v="6"/>
    <n v="1"/>
    <b v="0"/>
    <b v="0"/>
    <b v="0"/>
    <b v="0"/>
    <d v="2026-06-05T00:00:00"/>
    <n v="24"/>
    <n v="545"/>
    <s v="₹500–₹1,000"/>
    <s v="4.0–4.4"/>
    <x v="3"/>
  </r>
  <r>
    <s v="B0GJ5HB23T"/>
    <x v="571"/>
    <s v="Gaming Console"/>
    <n v="3999"/>
    <n v="9999"/>
    <n v="0.6"/>
    <n v="5"/>
    <n v="2"/>
    <n v="1"/>
    <b v="0"/>
    <b v="0"/>
    <b v="0"/>
    <b v="0"/>
    <d v="2026-06-05T00:00:00"/>
    <n v="10"/>
    <n v="3999"/>
    <s v="₹1,000–₹5,000"/>
    <s v="4.5–5.0"/>
    <x v="3"/>
  </r>
  <r>
    <s v="B0FPQLJGYN"/>
    <x v="572"/>
    <s v="Gaming Console"/>
    <n v="5999"/>
    <n v="10999"/>
    <n v="0.45500000000000002"/>
    <n v="5"/>
    <n v="1"/>
    <n v="1"/>
    <b v="0"/>
    <b v="0"/>
    <b v="0"/>
    <b v="0"/>
    <d v="2026-06-05T00:00:00"/>
    <n v="5"/>
    <n v="5999"/>
    <s v="₹5,000–₹10,000"/>
    <s v="4.5–5.0"/>
    <x v="5"/>
  </r>
  <r>
    <s v="B0FCYRXY9M"/>
    <x v="573"/>
    <s v="Gaming Console"/>
    <n v="1289"/>
    <n v="1999"/>
    <n v="0.35499999999999998"/>
    <n v="4"/>
    <n v="126"/>
    <n v="1"/>
    <b v="0"/>
    <b v="0"/>
    <b v="0"/>
    <b v="0"/>
    <d v="2026-06-05T00:00:00"/>
    <n v="504"/>
    <n v="1289"/>
    <s v="₹1,000–₹5,000"/>
    <s v="4.0–4.4"/>
    <x v="5"/>
  </r>
  <r>
    <s v="B0FPFYXJGW"/>
    <x v="563"/>
    <s v="Gaming Console"/>
    <n v="679"/>
    <n v="1999"/>
    <n v="0.66"/>
    <n v="3.3"/>
    <n v="60"/>
    <n v="1"/>
    <b v="0"/>
    <b v="0"/>
    <b v="0"/>
    <b v="0"/>
    <d v="2026-06-05T00:00:00"/>
    <n v="198"/>
    <n v="679"/>
    <s v="₹500–₹1,000"/>
    <s v="3.0–3.9"/>
    <x v="3"/>
  </r>
  <r>
    <s v="B0CPPJMC54"/>
    <x v="574"/>
    <s v="Gaming Console"/>
    <n v="3999"/>
    <n v="6999"/>
    <n v="0.42899999999999999"/>
    <n v="3.4"/>
    <n v="37"/>
    <n v="1"/>
    <b v="0"/>
    <b v="0"/>
    <b v="0"/>
    <b v="0"/>
    <d v="2026-06-05T00:00:00"/>
    <n v="125.8"/>
    <n v="3999"/>
    <s v="₹1,000–₹5,000"/>
    <s v="3.0–3.9"/>
    <x v="5"/>
  </r>
  <r>
    <s v="B0G8JRLG9D"/>
    <x v="575"/>
    <s v="Gaming Console"/>
    <n v="3999"/>
    <n v="7999"/>
    <n v="0.5"/>
    <n v="3.6"/>
    <n v="5"/>
    <n v="1"/>
    <b v="0"/>
    <b v="0"/>
    <b v="0"/>
    <b v="0"/>
    <d v="2026-06-05T00:00:00"/>
    <n v="18"/>
    <n v="3999"/>
    <s v="₹1,000–₹5,000"/>
    <s v="3.0–3.9"/>
    <x v="3"/>
  </r>
  <r>
    <s v="B0H1H33KGP"/>
    <x v="576"/>
    <s v="Gaming Console"/>
    <n v="5999"/>
    <n v="9999"/>
    <n v="0.4"/>
    <n v="5"/>
    <n v="1"/>
    <n v="1"/>
    <b v="0"/>
    <b v="0"/>
    <b v="0"/>
    <b v="0"/>
    <d v="2026-06-05T00:00:00"/>
    <n v="5"/>
    <n v="5999"/>
    <s v="₹5,000–₹10,000"/>
    <s v="4.5–5.0"/>
    <x v="5"/>
  </r>
  <r>
    <s v="B0FP1KZR2S"/>
    <x v="577"/>
    <s v="Gaming Console"/>
    <n v="679"/>
    <n v="1999"/>
    <n v="0.66"/>
    <n v="3.3"/>
    <n v="106"/>
    <n v="1"/>
    <b v="0"/>
    <b v="0"/>
    <b v="0"/>
    <b v="0"/>
    <d v="2026-06-05T00:00:00"/>
    <n v="349.79999999999995"/>
    <n v="679"/>
    <s v="₹500–₹1,000"/>
    <s v="3.0–3.9"/>
    <x v="3"/>
  </r>
  <r>
    <s v="B0FR451Q6T"/>
    <x v="578"/>
    <s v="Gaming Console"/>
    <n v="3998"/>
    <n v="7999"/>
    <n v="0.5"/>
    <n v="3.5"/>
    <n v="11"/>
    <n v="1"/>
    <b v="0"/>
    <b v="0"/>
    <b v="0"/>
    <b v="0"/>
    <d v="2026-06-05T00:00:00"/>
    <n v="38.5"/>
    <n v="3998"/>
    <s v="₹1,000–₹5,000"/>
    <s v="3.0–3.9"/>
    <x v="3"/>
  </r>
  <r>
    <s v="B0GZLQ5L55"/>
    <x v="579"/>
    <s v="Gaming Console"/>
    <n v="4930"/>
    <n v="9990"/>
    <n v="0.50700000000000001"/>
    <m/>
    <n v="0"/>
    <n v="1"/>
    <b v="0"/>
    <b v="0"/>
    <b v="0"/>
    <b v="0"/>
    <d v="2026-06-05T00:00:00"/>
    <s v=""/>
    <n v="4930"/>
    <s v="₹1,000–₹5,000"/>
    <s v="Not Rated"/>
    <x v="3"/>
  </r>
  <r>
    <s v="B0FJ8C5GGS"/>
    <x v="580"/>
    <s v="Gaming Console"/>
    <n v="599"/>
    <n v="2000"/>
    <n v="0.7"/>
    <n v="4.2"/>
    <n v="6"/>
    <n v="1"/>
    <b v="0"/>
    <b v="0"/>
    <b v="0"/>
    <b v="0"/>
    <d v="2026-06-05T00:00:00"/>
    <n v="25.200000000000003"/>
    <n v="599"/>
    <s v="₹500–₹1,000"/>
    <s v="4.0–4.4"/>
    <x v="3"/>
  </r>
  <r>
    <s v="B0G3H32FGQ"/>
    <x v="581"/>
    <s v="Gaming Console"/>
    <n v="589"/>
    <n v="1999"/>
    <n v="0.70499999999999996"/>
    <m/>
    <n v="0"/>
    <n v="1"/>
    <b v="0"/>
    <b v="0"/>
    <b v="0"/>
    <b v="0"/>
    <d v="2026-06-05T00:00:00"/>
    <s v=""/>
    <n v="589"/>
    <s v="₹500–₹1,000"/>
    <s v="Not Rated"/>
    <x v="3"/>
  </r>
  <r>
    <s v="B0FMSMSWH2"/>
    <x v="582"/>
    <s v="Gaming Console"/>
    <n v="799"/>
    <m/>
    <m/>
    <n v="3.4"/>
    <n v="11"/>
    <n v="2"/>
    <b v="0"/>
    <b v="0"/>
    <b v="0"/>
    <b v="0"/>
    <d v="2026-06-05T00:00:00"/>
    <n v="37.4"/>
    <n v="799"/>
    <s v="₹500–₹1,000"/>
    <s v="3.0–3.9"/>
    <x v="1"/>
  </r>
  <r>
    <s v="B0GXZ7PMH9"/>
    <x v="583"/>
    <s v="Gaming Console"/>
    <n v="599"/>
    <n v="1999"/>
    <n v="0.7"/>
    <m/>
    <n v="0"/>
    <n v="1"/>
    <b v="0"/>
    <b v="0"/>
    <b v="0"/>
    <b v="0"/>
    <d v="2026-06-05T00:00:00"/>
    <s v=""/>
    <n v="599"/>
    <s v="₹500–₹1,000"/>
    <s v="Not Rated"/>
    <x v="3"/>
  </r>
  <r>
    <s v="B09YH82G14"/>
    <x v="584"/>
    <s v="Gaming Console"/>
    <n v="521"/>
    <n v="1299"/>
    <n v="0.59899999999999998"/>
    <n v="3.4"/>
    <n v="2323"/>
    <n v="1"/>
    <b v="0"/>
    <b v="0"/>
    <b v="0"/>
    <b v="0"/>
    <d v="2026-06-05T00:00:00"/>
    <n v="7898.2"/>
    <n v="521"/>
    <s v="₹500–₹1,000"/>
    <s v="3.0–3.9"/>
    <x v="3"/>
  </r>
  <r>
    <s v="B0GRBT3XRX"/>
    <x v="585"/>
    <s v="Gaming Console"/>
    <n v="3519"/>
    <n v="6999"/>
    <n v="0.497"/>
    <n v="3"/>
    <n v="2"/>
    <n v="1"/>
    <b v="0"/>
    <b v="0"/>
    <b v="0"/>
    <b v="0"/>
    <d v="2026-06-05T00:00:00"/>
    <n v="6"/>
    <n v="3519"/>
    <s v="₹1,000–₹5,000"/>
    <s v="3.0–3.9"/>
    <x v="5"/>
  </r>
  <r>
    <s v="B0GWM9WT9H"/>
    <x v="586"/>
    <s v="Gaming Console"/>
    <n v="1099"/>
    <n v="2999"/>
    <n v="0.63400000000000001"/>
    <n v="3.6"/>
    <n v="18"/>
    <n v="1"/>
    <b v="0"/>
    <b v="0"/>
    <b v="0"/>
    <b v="0"/>
    <d v="2026-06-05T00:00:00"/>
    <n v="64.8"/>
    <n v="1099"/>
    <s v="₹1,000–₹5,000"/>
    <s v="3.0–3.9"/>
    <x v="3"/>
  </r>
  <r>
    <s v="B0GG6H42F5"/>
    <x v="587"/>
    <s v="Gaming Console"/>
    <n v="2549"/>
    <n v="6999"/>
    <n v="0.63600000000000001"/>
    <n v="3.7"/>
    <n v="29"/>
    <n v="1"/>
    <b v="0"/>
    <b v="0"/>
    <b v="0"/>
    <b v="0"/>
    <d v="2026-06-05T00:00:00"/>
    <n v="107.30000000000001"/>
    <n v="2549"/>
    <s v="₹1,000–₹5,000"/>
    <s v="3.0–3.9"/>
    <x v="3"/>
  </r>
  <r>
    <s v="B0GPM6198K"/>
    <x v="588"/>
    <s v="Gaming Console"/>
    <n v="3699"/>
    <n v="6999"/>
    <n v="0.47099999999999997"/>
    <n v="3.4"/>
    <n v="14"/>
    <n v="1"/>
    <b v="0"/>
    <b v="0"/>
    <b v="0"/>
    <b v="0"/>
    <d v="2026-06-05T00:00:00"/>
    <n v="47.6"/>
    <n v="3699"/>
    <s v="₹1,000–₹5,000"/>
    <s v="3.0–3.9"/>
    <x v="5"/>
  </r>
  <r>
    <s v="B0G6DN6W5R"/>
    <x v="589"/>
    <s v="Gaming Console"/>
    <n v="9499"/>
    <n v="17999"/>
    <n v="0.47199999999999998"/>
    <m/>
    <n v="0"/>
    <n v="1"/>
    <b v="0"/>
    <b v="0"/>
    <b v="0"/>
    <b v="0"/>
    <d v="2026-06-05T00:00:00"/>
    <s v=""/>
    <n v="9499"/>
    <s v="₹5,000–₹10,000"/>
    <s v="Not Rated"/>
    <x v="5"/>
  </r>
  <r>
    <s v="B0FPQJLZ5Q"/>
    <x v="590"/>
    <s v="Gaming Console"/>
    <n v="6199"/>
    <n v="9999"/>
    <n v="0.38"/>
    <n v="3.3"/>
    <n v="7"/>
    <n v="1"/>
    <b v="0"/>
    <b v="0"/>
    <b v="0"/>
    <b v="0"/>
    <d v="2026-06-05T00:00:00"/>
    <n v="23.099999999999998"/>
    <n v="6199"/>
    <s v="₹5,000–₹10,000"/>
    <s v="3.0–3.9"/>
    <x v="5"/>
  </r>
  <r>
    <s v="B00E9891EK"/>
    <x v="591"/>
    <s v="Gaming Console"/>
    <n v="358"/>
    <n v="750"/>
    <n v="0.52300000000000002"/>
    <n v="3.4"/>
    <n v="3595"/>
    <n v="1"/>
    <b v="0"/>
    <b v="0"/>
    <b v="0"/>
    <b v="0"/>
    <d v="2026-06-05T00:00:00"/>
    <n v="12223"/>
    <n v="358"/>
    <s v="Under ₹500"/>
    <s v="3.0–3.9"/>
    <x v="3"/>
  </r>
  <r>
    <s v="B0GRVX4TDV"/>
    <x v="592"/>
    <s v="Gaming Console"/>
    <n v="548"/>
    <n v="1299"/>
    <n v="0.57799999999999996"/>
    <m/>
    <n v="0"/>
    <n v="1"/>
    <b v="0"/>
    <b v="0"/>
    <b v="0"/>
    <b v="0"/>
    <d v="2026-06-05T00:00:00"/>
    <s v=""/>
    <n v="548"/>
    <s v="₹500–₹1,000"/>
    <s v="Not Rated"/>
    <x v="3"/>
  </r>
  <r>
    <s v="B0FKPYJKFG"/>
    <x v="593"/>
    <s v="Gaming Console"/>
    <n v="3990"/>
    <n v="7999"/>
    <n v="0.501"/>
    <n v="2.7"/>
    <n v="7"/>
    <n v="1"/>
    <b v="0"/>
    <b v="0"/>
    <b v="0"/>
    <b v="0"/>
    <d v="2026-06-05T00:00:00"/>
    <n v="18.900000000000002"/>
    <n v="3990"/>
    <s v="₹1,000–₹5,000"/>
    <s v="2.0–2.9"/>
    <x v="3"/>
  </r>
  <r>
    <s v="B0H22CH5LJ"/>
    <x v="594"/>
    <s v="Gaming Console"/>
    <n v="7999"/>
    <n v="10999"/>
    <n v="0.27300000000000002"/>
    <m/>
    <n v="0"/>
    <n v="1"/>
    <b v="0"/>
    <b v="0"/>
    <b v="0"/>
    <b v="0"/>
    <d v="2026-06-05T00:00:00"/>
    <s v=""/>
    <n v="7999"/>
    <s v="₹5,000–₹10,000"/>
    <s v="Not Rated"/>
    <x v="2"/>
  </r>
  <r>
    <s v="B0G1V9LF2N"/>
    <x v="595"/>
    <s v="Gaming Console"/>
    <n v="859"/>
    <n v="1589"/>
    <n v="0.45900000000000002"/>
    <n v="5"/>
    <n v="3"/>
    <n v="1"/>
    <b v="0"/>
    <b v="0"/>
    <b v="0"/>
    <b v="0"/>
    <d v="2026-06-05T00:00:00"/>
    <n v="15"/>
    <n v="859"/>
    <s v="₹500–₹1,000"/>
    <s v="4.5–5.0"/>
    <x v="5"/>
  </r>
  <r>
    <s v="B0FP19Y8SW"/>
    <x v="596"/>
    <s v="Gaming Console"/>
    <n v="585"/>
    <n v="1299"/>
    <n v="0.55000000000000004"/>
    <n v="3.6"/>
    <n v="22"/>
    <n v="1"/>
    <b v="0"/>
    <b v="0"/>
    <b v="0"/>
    <b v="0"/>
    <d v="2026-06-05T00:00:00"/>
    <n v="79.2"/>
    <n v="585"/>
    <s v="₹500–₹1,000"/>
    <s v="3.0–3.9"/>
    <x v="3"/>
  </r>
  <r>
    <s v="B0FMYSB4SD"/>
    <x v="597"/>
    <s v="Gaming Console"/>
    <n v="4490"/>
    <n v="9999"/>
    <n v="0.55100000000000005"/>
    <n v="3.7"/>
    <n v="8"/>
    <n v="1"/>
    <b v="0"/>
    <b v="0"/>
    <b v="0"/>
    <b v="0"/>
    <d v="2026-06-05T00:00:00"/>
    <n v="29.6"/>
    <n v="4490"/>
    <s v="₹1,000–₹5,000"/>
    <s v="3.0–3.9"/>
    <x v="3"/>
  </r>
  <r>
    <s v="B0H2LXXMY6"/>
    <x v="598"/>
    <s v="Gaming Console"/>
    <n v="3990"/>
    <n v="9999"/>
    <n v="0.60099999999999998"/>
    <n v="5"/>
    <n v="2"/>
    <n v="1"/>
    <b v="0"/>
    <b v="0"/>
    <b v="0"/>
    <b v="0"/>
    <d v="2026-06-05T00:00:00"/>
    <n v="10"/>
    <n v="3990"/>
    <s v="₹1,000–₹5,000"/>
    <s v="4.5–5.0"/>
    <x v="3"/>
  </r>
  <r>
    <s v="B0D2JGYX3F"/>
    <x v="599"/>
    <s v="Gaming Console"/>
    <n v="39888"/>
    <n v="69999"/>
    <n v="0.43"/>
    <n v="4.7"/>
    <n v="4339"/>
    <n v="1"/>
    <b v="0"/>
    <b v="0"/>
    <b v="0"/>
    <b v="0"/>
    <d v="2026-06-05T00:00:00"/>
    <n v="20393.3"/>
    <n v="39888"/>
    <s v="Above ₹10,000"/>
    <s v="4.5–5.0"/>
    <x v="5"/>
  </r>
  <r>
    <s v="B0DM96R9T4"/>
    <x v="600"/>
    <s v="Gaming Console"/>
    <n v="1579"/>
    <n v="1599"/>
    <n v="1.2999999999999999E-2"/>
    <n v="3.7"/>
    <n v="36"/>
    <n v="1"/>
    <b v="0"/>
    <b v="0"/>
    <b v="0"/>
    <b v="0"/>
    <d v="2026-06-05T00:00:00"/>
    <n v="133.20000000000002"/>
    <n v="1579"/>
    <s v="₹1,000–₹5,000"/>
    <s v="3.0–3.9"/>
    <x v="0"/>
  </r>
  <r>
    <s v="B0CWNW1FSG"/>
    <x v="601"/>
    <s v="Gaming Console"/>
    <n v="6990"/>
    <m/>
    <m/>
    <n v="3.8"/>
    <n v="81"/>
    <n v="1"/>
    <b v="0"/>
    <b v="0"/>
    <b v="0"/>
    <b v="0"/>
    <d v="2026-06-05T00:00:00"/>
    <n v="307.8"/>
    <n v="6990"/>
    <s v="₹5,000–₹10,000"/>
    <s v="3.0–3.9"/>
    <x v="1"/>
  </r>
  <r>
    <s v="B0H27854GY"/>
    <x v="602"/>
    <s v="Gaming Console"/>
    <n v="7999"/>
    <n v="10999"/>
    <n v="0.27300000000000002"/>
    <m/>
    <n v="0"/>
    <n v="1"/>
    <b v="0"/>
    <b v="0"/>
    <b v="0"/>
    <b v="0"/>
    <d v="2026-06-05T00:00:00"/>
    <s v=""/>
    <n v="7999"/>
    <s v="₹5,000–₹10,000"/>
    <s v="Not Rated"/>
    <x v="2"/>
  </r>
  <r>
    <s v="B0F5N6LWVR"/>
    <x v="603"/>
    <s v="Gaming Console"/>
    <n v="5250"/>
    <n v="5299"/>
    <n v="8.9999999999999993E-3"/>
    <n v="3.5"/>
    <n v="3"/>
    <n v="1"/>
    <b v="0"/>
    <b v="0"/>
    <b v="0"/>
    <b v="0"/>
    <d v="2026-06-05T00:00:00"/>
    <n v="10.5"/>
    <n v="5250"/>
    <s v="₹5,000–₹10,000"/>
    <s v="3.0–3.9"/>
    <x v="0"/>
  </r>
  <r>
    <s v="B0GWQ7YQPB"/>
    <x v="604"/>
    <s v="Gaming Console"/>
    <n v="4990"/>
    <n v="6999"/>
    <n v="0.28699999999999998"/>
    <n v="3.3"/>
    <n v="16"/>
    <n v="1"/>
    <b v="0"/>
    <b v="0"/>
    <b v="0"/>
    <b v="0"/>
    <d v="2026-06-05T00:00:00"/>
    <n v="52.8"/>
    <n v="4990"/>
    <s v="₹1,000–₹5,000"/>
    <s v="3.0–3.9"/>
    <x v="2"/>
  </r>
  <r>
    <s v="B0CR8GPW2V"/>
    <x v="605"/>
    <s v="Gaming Console"/>
    <n v="899"/>
    <n v="1599"/>
    <n v="0.438"/>
    <n v="4.8"/>
    <n v="4"/>
    <n v="1"/>
    <b v="0"/>
    <b v="0"/>
    <b v="0"/>
    <b v="0"/>
    <d v="2026-06-05T00:00:00"/>
    <n v="19.2"/>
    <n v="899"/>
    <s v="₹500–₹1,000"/>
    <s v="4.5–5.0"/>
    <x v="5"/>
  </r>
  <r>
    <s v="B0FCR5ZD7R"/>
    <x v="606"/>
    <s v="Gaming Console"/>
    <n v="4900"/>
    <n v="6990"/>
    <n v="0.29899999999999999"/>
    <n v="3.2"/>
    <n v="75"/>
    <n v="1"/>
    <b v="0"/>
    <b v="0"/>
    <b v="0"/>
    <b v="0"/>
    <d v="2026-06-05T00:00:00"/>
    <n v="240"/>
    <n v="4900"/>
    <s v="₹1,000–₹5,000"/>
    <s v="3.0–3.9"/>
    <x v="2"/>
  </r>
  <r>
    <s v="B0H26B34WQ"/>
    <x v="607"/>
    <s v="Gaming Console"/>
    <n v="4999"/>
    <n v="6999"/>
    <n v="0.28599999999999998"/>
    <m/>
    <n v="0"/>
    <n v="1"/>
    <b v="0"/>
    <b v="0"/>
    <b v="0"/>
    <b v="0"/>
    <d v="2026-06-05T00:00:00"/>
    <s v=""/>
    <n v="4999"/>
    <s v="₹1,000–₹5,000"/>
    <s v="Not Rated"/>
    <x v="2"/>
  </r>
  <r>
    <s v="B0GDZ42HK1"/>
    <x v="608"/>
    <s v="Gaming Console"/>
    <n v="1799"/>
    <n v="5889"/>
    <n v="0.69499999999999995"/>
    <m/>
    <n v="0"/>
    <n v="1"/>
    <b v="0"/>
    <b v="0"/>
    <b v="0"/>
    <b v="0"/>
    <d v="2026-06-05T00:00:00"/>
    <s v=""/>
    <n v="1799"/>
    <s v="₹1,000–₹5,000"/>
    <s v="Not Rated"/>
    <x v="3"/>
  </r>
  <r>
    <s v="B0GWMMDBKP"/>
    <x v="609"/>
    <s v="Gaming Console"/>
    <n v="4849"/>
    <n v="6999"/>
    <n v="0.307"/>
    <n v="4.3"/>
    <n v="9"/>
    <n v="1"/>
    <b v="0"/>
    <b v="0"/>
    <b v="0"/>
    <b v="0"/>
    <d v="2026-06-05T00:00:00"/>
    <n v="38.699999999999996"/>
    <n v="4849"/>
    <s v="₹1,000–₹5,000"/>
    <s v="4.0–4.4"/>
    <x v="5"/>
  </r>
  <r>
    <s v="B0DHQXRH1S"/>
    <x v="610"/>
    <s v="Gaming Console"/>
    <n v="499"/>
    <n v="999"/>
    <n v="0.501"/>
    <n v="1"/>
    <n v="1"/>
    <n v="1"/>
    <b v="0"/>
    <b v="0"/>
    <b v="0"/>
    <b v="0"/>
    <d v="2026-06-05T00:00:00"/>
    <n v="1"/>
    <n v="499"/>
    <s v="Under ₹500"/>
    <s v="Below 2.0"/>
    <x v="3"/>
  </r>
  <r>
    <s v="B0F6FV8BSR"/>
    <x v="611"/>
    <s v="Gaming Console"/>
    <n v="777"/>
    <n v="1499"/>
    <n v="0.48199999999999998"/>
    <n v="3.8"/>
    <n v="29"/>
    <n v="1"/>
    <b v="0"/>
    <b v="0"/>
    <b v="0"/>
    <b v="0"/>
    <d v="2026-06-05T00:00:00"/>
    <n v="110.19999999999999"/>
    <n v="777"/>
    <s v="₹500–₹1,000"/>
    <s v="3.0–3.9"/>
    <x v="5"/>
  </r>
  <r>
    <s v="B0H1QKTDBT"/>
    <x v="612"/>
    <s v="Gaming Console"/>
    <n v="3399"/>
    <n v="9999"/>
    <n v="0.66"/>
    <m/>
    <n v="0"/>
    <n v="1"/>
    <b v="0"/>
    <b v="0"/>
    <b v="0"/>
    <b v="0"/>
    <d v="2026-06-05T00:00:00"/>
    <s v=""/>
    <n v="3399"/>
    <s v="₹1,000–₹5,000"/>
    <s v="Not Rated"/>
    <x v="3"/>
  </r>
  <r>
    <s v="B0H21QN4GX"/>
    <x v="613"/>
    <s v="Gaming Console"/>
    <n v="1999"/>
    <n v="3999"/>
    <n v="0.5"/>
    <m/>
    <n v="0"/>
    <n v="1"/>
    <b v="0"/>
    <b v="0"/>
    <b v="0"/>
    <b v="0"/>
    <d v="2026-06-05T00:00:00"/>
    <s v=""/>
    <n v="1999"/>
    <s v="₹1,000–₹5,000"/>
    <s v="Not Rated"/>
    <x v="3"/>
  </r>
  <r>
    <s v="B0FFTCW4C7"/>
    <x v="614"/>
    <s v="Gaming Console"/>
    <n v="799"/>
    <n v="1599"/>
    <n v="0.5"/>
    <n v="3.6"/>
    <n v="42"/>
    <n v="1"/>
    <b v="0"/>
    <b v="0"/>
    <b v="0"/>
    <b v="0"/>
    <d v="2026-06-05T00:00:00"/>
    <n v="151.20000000000002"/>
    <n v="799"/>
    <s v="₹500–₹1,000"/>
    <s v="3.0–3.9"/>
    <x v="3"/>
  </r>
  <r>
    <s v="B0F7H338CZ"/>
    <x v="615"/>
    <s v="Gaming Console"/>
    <n v="592"/>
    <n v="1399"/>
    <n v="0.57699999999999996"/>
    <n v="3.3"/>
    <n v="179"/>
    <n v="1"/>
    <b v="0"/>
    <b v="0"/>
    <b v="0"/>
    <b v="0"/>
    <d v="2026-06-05T00:00:00"/>
    <n v="590.69999999999993"/>
    <n v="592"/>
    <s v="₹500–₹1,000"/>
    <s v="3.0–3.9"/>
    <x v="3"/>
  </r>
  <r>
    <s v="B0DV9MB616"/>
    <x v="616"/>
    <s v="Gaming Console"/>
    <n v="4948"/>
    <n v="7999"/>
    <n v="0.38100000000000001"/>
    <n v="2.9"/>
    <n v="15"/>
    <n v="1"/>
    <b v="0"/>
    <b v="0"/>
    <b v="0"/>
    <b v="0"/>
    <d v="2026-06-05T00:00:00"/>
    <n v="43.5"/>
    <n v="4948"/>
    <s v="₹1,000–₹5,000"/>
    <s v="2.0–2.9"/>
    <x v="5"/>
  </r>
  <r>
    <s v="B0CY9169L2"/>
    <x v="617"/>
    <s v="Gaming Console"/>
    <n v="9700"/>
    <n v="9999"/>
    <n v="0.03"/>
    <n v="3.9"/>
    <n v="15"/>
    <n v="1"/>
    <b v="0"/>
    <b v="0"/>
    <b v="0"/>
    <b v="0"/>
    <d v="2026-06-05T00:00:00"/>
    <n v="58.5"/>
    <n v="9700"/>
    <s v="₹5,000–₹10,000"/>
    <s v="3.0–3.9"/>
    <x v="0"/>
  </r>
  <r>
    <s v="B0GXPL2ZTD"/>
    <x v="618"/>
    <s v="Gaming Console"/>
    <n v="4589"/>
    <n v="8999"/>
    <n v="0.49"/>
    <m/>
    <n v="0"/>
    <n v="1"/>
    <b v="0"/>
    <b v="0"/>
    <b v="0"/>
    <b v="0"/>
    <d v="2026-06-05T00:00:00"/>
    <s v=""/>
    <n v="4589"/>
    <s v="₹1,000–₹5,000"/>
    <s v="Not Rated"/>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13B7B8-779D-4E25-97DA-B3AC3460246C}"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B33" firstHeaderRow="1" firstDataRow="1" firstDataCol="1"/>
  <pivotFields count="14">
    <pivotField showAll="0"/>
    <pivotField showAll="0"/>
    <pivotField axis="axisRow" showAll="0"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 numFmtId="14" showAll="0"/>
  </pivotFields>
  <rowFields count="1">
    <field x="2"/>
  </rowFields>
  <rowItems count="13">
    <i>
      <x v="10"/>
    </i>
    <i>
      <x v="1"/>
    </i>
    <i>
      <x v="5"/>
    </i>
    <i>
      <x/>
    </i>
    <i>
      <x v="6"/>
    </i>
    <i>
      <x v="9"/>
    </i>
    <i>
      <x v="7"/>
    </i>
    <i>
      <x v="11"/>
    </i>
    <i>
      <x v="8"/>
    </i>
    <i>
      <x v="3"/>
    </i>
    <i>
      <x v="4"/>
    </i>
    <i>
      <x v="2"/>
    </i>
    <i t="grand">
      <x/>
    </i>
  </rowItems>
  <colItems count="1">
    <i/>
  </colItems>
  <dataFields count="1">
    <dataField name="Average of Product_Price" fld="3" subtotal="average" baseField="2" baseItem="1" numFmtId="164"/>
  </dataFields>
  <formats count="4">
    <format dxfId="3">
      <pivotArea dataOnly="0" outline="0" axis="axisValues" fieldPosition="0"/>
    </format>
    <format dxfId="2">
      <pivotArea collapsedLevelsAreSubtotals="1" fieldPosition="0">
        <references count="1">
          <reference field="2" count="1">
            <x v="1"/>
          </reference>
        </references>
      </pivotArea>
    </format>
    <format dxfId="1">
      <pivotArea collapsedLevelsAreSubtotals="1" fieldPosition="0">
        <references count="1">
          <reference field="2" count="1">
            <x v="10"/>
          </reference>
        </references>
      </pivotArea>
    </format>
    <format dxfId="0">
      <pivotArea collapsedLevelsAreSubtotals="1" fieldPosition="0">
        <references count="1">
          <reference field="2" count="10">
            <x v="0"/>
            <x v="2"/>
            <x v="3"/>
            <x v="4"/>
            <x v="5"/>
            <x v="6"/>
            <x v="7"/>
            <x v="8"/>
            <x v="9"/>
            <x v="11"/>
          </reference>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284764-DA91-418A-AB30-9B9F0A1236C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B16" firstHeaderRow="1" firstDataRow="1" firstDataCol="1"/>
  <pivotFields count="14">
    <pivotField showAll="0"/>
    <pivotField dataField="1" showAll="0"/>
    <pivotField axis="axisRow" showAll="0" measureFilter="1"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14" showAll="0"/>
  </pivotFields>
  <rowFields count="1">
    <field x="2"/>
  </rowFields>
  <rowItems count="12">
    <i>
      <x v="3"/>
    </i>
    <i>
      <x v="10"/>
    </i>
    <i>
      <x v="1"/>
    </i>
    <i>
      <x/>
    </i>
    <i>
      <x v="7"/>
    </i>
    <i>
      <x v="8"/>
    </i>
    <i>
      <x v="9"/>
    </i>
    <i>
      <x v="4"/>
    </i>
    <i>
      <x v="11"/>
    </i>
    <i>
      <x v="5"/>
    </i>
    <i>
      <x v="6"/>
    </i>
    <i t="grand">
      <x/>
    </i>
  </rowItems>
  <colItems count="1">
    <i/>
  </colItems>
  <dataFields count="1">
    <dataField name="Product Count by Category" fld="1" subtotal="count"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895305-BF0B-426D-A3AD-42BE61811807}"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2:X15" firstHeaderRow="0" firstDataRow="1" firstDataCol="1"/>
  <pivotFields count="15">
    <pivotField showAll="0"/>
    <pivotField dataField="1" showAll="0"/>
    <pivotField axis="axisRow" showAll="0" sortType="descending">
      <items count="13">
        <item x="9"/>
        <item x="10"/>
        <item x="5"/>
        <item x="11"/>
        <item x="2"/>
        <item x="1"/>
        <item x="7"/>
        <item x="0"/>
        <item x="3"/>
        <item x="4"/>
        <item x="6"/>
        <item x="8"/>
        <item t="default"/>
      </items>
      <autoSortScope>
        <pivotArea dataOnly="0" outline="0" fieldPosition="0">
          <references count="1">
            <reference field="4294967294" count="1" selected="0">
              <x v="1"/>
            </reference>
          </references>
        </pivotArea>
      </autoSortScope>
    </pivotField>
    <pivotField dataField="1" showAll="0"/>
    <pivotField showAll="0"/>
    <pivotField dataField="1" showAll="0"/>
    <pivotField dataField="1" showAll="0"/>
    <pivotField showAll="0"/>
    <pivotField showAll="0"/>
    <pivotField showAll="0"/>
    <pivotField showAll="0"/>
    <pivotField showAll="0"/>
    <pivotField showAll="0"/>
    <pivotField numFmtId="14" showAll="0"/>
    <pivotField showAll="0"/>
  </pivotFields>
  <rowFields count="1">
    <field x="2"/>
  </rowFields>
  <rowItems count="13">
    <i>
      <x v="11"/>
    </i>
    <i>
      <x v="5"/>
    </i>
    <i>
      <x v="6"/>
    </i>
    <i>
      <x v="4"/>
    </i>
    <i>
      <x v="10"/>
    </i>
    <i>
      <x v="9"/>
    </i>
    <i>
      <x v="7"/>
    </i>
    <i>
      <x v="8"/>
    </i>
    <i>
      <x v="1"/>
    </i>
    <i>
      <x v="2"/>
    </i>
    <i>
      <x/>
    </i>
    <i>
      <x v="3"/>
    </i>
    <i t="grand">
      <x/>
    </i>
  </rowItems>
  <colFields count="1">
    <field x="-2"/>
  </colFields>
  <colItems count="4">
    <i>
      <x/>
    </i>
    <i i="1">
      <x v="1"/>
    </i>
    <i i="2">
      <x v="2"/>
    </i>
    <i i="3">
      <x v="3"/>
    </i>
  </colItems>
  <dataFields count="4">
    <dataField name="Count of Product_Title" fld="1" subtotal="count" baseField="0" baseItem="0"/>
    <dataField name="Average of Product_Rating" fld="6" subtotal="average" baseField="2" baseItem="8" numFmtId="2"/>
    <dataField name="Average of Product_Price" fld="3" subtotal="average" baseField="2" baseItem="0" numFmtId="164"/>
    <dataField name="Average of discount" fld="5" subtotal="average" baseField="2" baseItem="4" numFmtId="1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BAAC32-1AA7-4D4D-ABF3-2C819E910DE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0:H33" firstHeaderRow="1" firstDataRow="1" firstDataCol="1"/>
  <pivotFields count="15">
    <pivotField showAll="0"/>
    <pivotField showAll="0"/>
    <pivotField axis="axisRow" showAll="0"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numFmtId="14" showAll="0"/>
    <pivotField showAll="0"/>
  </pivotFields>
  <rowFields count="1">
    <field x="2"/>
  </rowFields>
  <rowItems count="13">
    <i>
      <x v="8"/>
    </i>
    <i>
      <x v="2"/>
    </i>
    <i>
      <x v="4"/>
    </i>
    <i>
      <x v="10"/>
    </i>
    <i>
      <x v="3"/>
    </i>
    <i>
      <x v="1"/>
    </i>
    <i>
      <x/>
    </i>
    <i>
      <x v="11"/>
    </i>
    <i>
      <x v="9"/>
    </i>
    <i>
      <x v="6"/>
    </i>
    <i>
      <x v="7"/>
    </i>
    <i>
      <x v="5"/>
    </i>
    <i t="grand">
      <x/>
    </i>
  </rowItems>
  <colItems count="1">
    <i/>
  </colItems>
  <dataFields count="1">
    <dataField name="Average of discount" fld="5" subtotal="average" baseField="2" baseItem="1" numFmtId="10"/>
  </dataFields>
  <formats count="1">
    <format dxfId="4">
      <pivotArea dataOnly="0"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8FA86E-B70F-4537-B1D7-838F801406B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0:E33" firstHeaderRow="1" firstDataRow="1" firstDataCol="1"/>
  <pivotFields count="15">
    <pivotField showAll="0"/>
    <pivotField showAll="0"/>
    <pivotField axis="axisRow" showAll="0"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numFmtId="14" showAll="0"/>
    <pivotField showAll="0"/>
  </pivotFields>
  <rowFields count="1">
    <field x="2"/>
  </rowFields>
  <rowItems count="13">
    <i>
      <x v="11"/>
    </i>
    <i>
      <x v="5"/>
    </i>
    <i>
      <x v="6"/>
    </i>
    <i>
      <x v="4"/>
    </i>
    <i>
      <x v="10"/>
    </i>
    <i>
      <x v="9"/>
    </i>
    <i>
      <x v="7"/>
    </i>
    <i>
      <x v="8"/>
    </i>
    <i>
      <x v="1"/>
    </i>
    <i>
      <x v="2"/>
    </i>
    <i>
      <x/>
    </i>
    <i>
      <x v="3"/>
    </i>
    <i t="grand">
      <x/>
    </i>
  </rowItems>
  <colItems count="1">
    <i/>
  </colItems>
  <dataFields count="1">
    <dataField name="Average of Product_Rating" fld="6" subtotal="average" baseField="2" baseItem="0" numFmtId="2"/>
  </dataFields>
  <formats count="3">
    <format dxfId="7">
      <pivotArea collapsedLevelsAreSubtotals="1" fieldPosition="0">
        <references count="1">
          <reference field="2" count="1">
            <x v="4"/>
          </reference>
        </references>
      </pivotArea>
    </format>
    <format dxfId="6">
      <pivotArea dataOnly="0" labelOnly="1" outline="0" axis="axisValues" fieldPosition="0"/>
    </format>
    <format dxfId="5">
      <pivotArea outline="0" fieldPosition="0">
        <references count="1">
          <reference field="4294967294" count="1">
            <x v="0"/>
          </reference>
        </references>
      </pivotArea>
    </format>
  </formats>
  <chartFormats count="1">
    <chartFormat chart="1"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DE435E-7240-4DF7-9129-49600F80CA3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8:C15" firstHeaderRow="0" firstDataRow="1" firstDataCol="1"/>
  <pivotFields count="18">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axis="axisRow" showAll="0" measureFilter="1" sortType="descending">
      <items count="7">
        <item x="2"/>
        <item x="0"/>
        <item x="5"/>
        <item x="1"/>
        <item n="Blank cells" x="3"/>
        <item x="4"/>
        <item t="default"/>
      </items>
      <autoSortScope>
        <pivotArea dataOnly="0" outline="0" fieldPosition="0">
          <references count="1">
            <reference field="4294967294" count="1" selected="0">
              <x v="0"/>
            </reference>
          </references>
        </pivotArea>
      </autoSortScope>
    </pivotField>
    <pivotField showAll="0"/>
  </pivotFields>
  <rowFields count="1">
    <field x="16"/>
  </rowFields>
  <rowItems count="7">
    <i>
      <x v="3"/>
    </i>
    <i>
      <x/>
    </i>
    <i>
      <x v="2"/>
    </i>
    <i>
      <x v="1"/>
    </i>
    <i>
      <x v="5"/>
    </i>
    <i>
      <x v="4"/>
    </i>
    <i t="grand">
      <x/>
    </i>
  </rowItems>
  <colFields count="1">
    <field x="-2"/>
  </colFields>
  <colItems count="2">
    <i>
      <x/>
    </i>
    <i i="1">
      <x v="1"/>
    </i>
  </colItems>
  <dataFields count="2">
    <dataField name="Count of Product_Title" fld="1" subtotal="count" baseField="16" baseItem="2"/>
    <dataField name="% of Total" fld="1" subtotal="count" showDataAs="percentOfTotal" baseField="16" baseItem="3" numFmtId="10"/>
  </dataField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Medium14"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1DCBBF-0BC4-45A7-AC74-A6A9937436EE}"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B26" firstHeaderRow="1" firstDataRow="1" firstDataCol="1"/>
  <pivotFields count="19">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4" showAll="0"/>
    <pivotField showAll="0"/>
    <pivotField showAll="0"/>
    <pivotField showAll="0"/>
    <pivotField showAll="0"/>
    <pivotField axis="axisRow" showAll="0" sortType="descending">
      <items count="7">
        <item x="0"/>
        <item x="4"/>
        <item x="2"/>
        <item x="5"/>
        <item x="3"/>
        <item x="1"/>
        <item t="default"/>
      </items>
      <autoSortScope>
        <pivotArea dataOnly="0" outline="0" fieldPosition="0">
          <references count="1">
            <reference field="4294967294" count="1" selected="0">
              <x v="0"/>
            </reference>
          </references>
        </pivotArea>
      </autoSortScope>
    </pivotField>
  </pivotFields>
  <rowFields count="1">
    <field x="18"/>
  </rowFields>
  <rowItems count="7">
    <i>
      <x/>
    </i>
    <i>
      <x v="1"/>
    </i>
    <i>
      <x v="2"/>
    </i>
    <i>
      <x v="5"/>
    </i>
    <i>
      <x v="3"/>
    </i>
    <i>
      <x v="4"/>
    </i>
    <i t="grand">
      <x/>
    </i>
  </rowItems>
  <colItems count="1">
    <i/>
  </colItems>
  <dataFields count="1">
    <dataField name="Average of Product_Rating" fld="6" subtotal="average" baseField="18" baseItem="0" numFmtId="2"/>
  </dataFields>
  <chartFormats count="1">
    <chartFormat chart="1"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F260CA-B927-4DA1-88CF-CDFCB567B11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B17" firstHeaderRow="1" firstDataRow="1" firstDataCol="1"/>
  <pivotFields count="18">
    <pivotField showAll="0"/>
    <pivotField showAll="0"/>
    <pivotField axis="axisRow" showAll="0" measureFilter="1"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numFmtId="14" showAll="0"/>
    <pivotField showAll="0"/>
    <pivotField showAll="0"/>
    <pivotField showAll="0"/>
    <pivotField showAll="0"/>
  </pivotFields>
  <rowFields count="1">
    <field x="2"/>
  </rowFields>
  <rowItems count="11">
    <i>
      <x v="8"/>
    </i>
    <i>
      <x v="2"/>
    </i>
    <i>
      <x v="4"/>
    </i>
    <i>
      <x v="10"/>
    </i>
    <i>
      <x v="3"/>
    </i>
    <i>
      <x v="1"/>
    </i>
    <i>
      <x/>
    </i>
    <i>
      <x v="11"/>
    </i>
    <i>
      <x v="9"/>
    </i>
    <i>
      <x v="6"/>
    </i>
    <i t="grand">
      <x/>
    </i>
  </rowItems>
  <colItems count="1">
    <i/>
  </colItems>
  <dataFields count="1">
    <dataField name="Average of discount" fld="5" subtotal="average" baseField="2" baseItem="0" numFmtId="10"/>
  </dataFields>
  <chartFormats count="1">
    <chartFormat chart="1"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79367F-3396-4A9E-906D-5973EB93832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ating Range">
  <location ref="D15:E22" firstHeaderRow="1" firstDataRow="1" firstDataCol="1"/>
  <pivotFields count="18">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pivotField showAll="0"/>
    <pivotField showAll="0"/>
    <pivotField axis="axisRow" showAll="0" sortType="descending">
      <items count="8">
        <item m="1" x="6"/>
        <item x="2"/>
        <item x="1"/>
        <item x="0"/>
        <item x="3"/>
        <item x="5"/>
        <item x="4"/>
        <item t="default"/>
      </items>
      <autoSortScope>
        <pivotArea dataOnly="0" outline="0" fieldPosition="0">
          <references count="1">
            <reference field="4294967294" count="1" selected="0">
              <x v="0"/>
            </reference>
          </references>
        </pivotArea>
      </autoSortScope>
    </pivotField>
  </pivotFields>
  <rowFields count="1">
    <field x="17"/>
  </rowFields>
  <rowItems count="7">
    <i>
      <x v="3"/>
    </i>
    <i>
      <x v="2"/>
    </i>
    <i>
      <x v="4"/>
    </i>
    <i>
      <x v="1"/>
    </i>
    <i>
      <x v="5"/>
    </i>
    <i>
      <x v="6"/>
    </i>
    <i t="grand">
      <x/>
    </i>
  </rowItems>
  <colItems count="1">
    <i/>
  </colItems>
  <dataFields count="1">
    <dataField name="Average of Num_Ratings" fld="7" subtotal="average" baseField="17" baseItem="1" numFmtId="2"/>
  </dataFields>
  <chartFormats count="1">
    <chartFormat chart="1"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8719B0-CF96-4615-9C84-A7758777D82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Category">
  <location ref="A15:B28" firstHeaderRow="1" firstDataRow="1" firstDataCol="1"/>
  <pivotFields count="18">
    <pivotField showAll="0"/>
    <pivotField showAll="0"/>
    <pivotField axis="axisRow" showAll="0"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numFmtId="14" showAll="0"/>
    <pivotField showAll="0"/>
    <pivotField showAll="0"/>
    <pivotField showAll="0"/>
    <pivotField showAll="0"/>
  </pivotFields>
  <rowFields count="1">
    <field x="2"/>
  </rowFields>
  <rowItems count="13">
    <i>
      <x v="11"/>
    </i>
    <i>
      <x v="5"/>
    </i>
    <i>
      <x v="6"/>
    </i>
    <i>
      <x v="4"/>
    </i>
    <i>
      <x v="10"/>
    </i>
    <i>
      <x v="9"/>
    </i>
    <i>
      <x v="7"/>
    </i>
    <i>
      <x v="8"/>
    </i>
    <i>
      <x v="1"/>
    </i>
    <i>
      <x v="2"/>
    </i>
    <i>
      <x/>
    </i>
    <i>
      <x v="3"/>
    </i>
    <i t="grand">
      <x/>
    </i>
  </rowItems>
  <colItems count="1">
    <i/>
  </colItems>
  <dataFields count="1">
    <dataField name="Average of Product_Rating" fld="6" subtotal="average" baseField="2" baseItem="0" numFmtId="2"/>
  </dataFields>
  <chartFormats count="1">
    <chartFormat chart="3" format="0" series="1">
      <pivotArea type="data" outline="0" fieldPosition="0">
        <references count="1">
          <reference field="4294967294" count="1" selected="0">
            <x v="0"/>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EA37B7-5BCD-4633-9AB1-48F823D58866}"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6:C13" firstHeaderRow="0" firstDataRow="1" firstDataCol="1"/>
  <pivotFields count="18">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axis="axisRow" compact="0" outline="0" showAll="0" sortType="descending">
      <items count="8">
        <item m="1" x="6"/>
        <item x="2"/>
        <item x="1"/>
        <item x="0"/>
        <item x="3"/>
        <item x="5"/>
        <item x="4"/>
        <item t="default"/>
      </items>
      <autoSortScope>
        <pivotArea dataOnly="0" outline="0" fieldPosition="0">
          <references count="1">
            <reference field="4294967294" count="1" selected="0">
              <x v="1"/>
            </reference>
          </references>
        </pivotArea>
      </autoSortScope>
    </pivotField>
  </pivotFields>
  <rowFields count="1">
    <field x="17"/>
  </rowFields>
  <rowItems count="7">
    <i>
      <x v="3"/>
    </i>
    <i>
      <x v="2"/>
    </i>
    <i>
      <x v="4"/>
    </i>
    <i>
      <x v="6"/>
    </i>
    <i>
      <x v="1"/>
    </i>
    <i>
      <x v="5"/>
    </i>
    <i t="grand">
      <x/>
    </i>
  </rowItems>
  <colFields count="1">
    <field x="-2"/>
  </colFields>
  <colItems count="2">
    <i>
      <x/>
    </i>
    <i i="1">
      <x v="1"/>
    </i>
  </colItems>
  <dataFields count="2">
    <dataField name="Count of Product" fld="1" subtotal="count" baseField="0" baseItem="0"/>
    <dataField name=" Count of Product in %" fld="1" subtotal="count" showDataAs="percentOfTotal" baseField="17" baseItem="3" numFmtId="1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A91F961-D971-4CC5-8954-FBD629C896B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E17" firstHeaderRow="0" firstDataRow="1" firstDataCol="1"/>
  <pivotFields count="15">
    <pivotField showAll="0"/>
    <pivotField dataField="1" showAll="0"/>
    <pivotField axis="axisRow" showAll="0" sortType="descending">
      <items count="13">
        <item x="9"/>
        <item x="10"/>
        <item x="5"/>
        <item x="11"/>
        <item x="2"/>
        <item x="1"/>
        <item x="7"/>
        <item x="0"/>
        <item x="3"/>
        <item x="4"/>
        <item x="6"/>
        <item x="8"/>
        <item t="default"/>
      </items>
      <autoSortScope>
        <pivotArea dataOnly="0" outline="0" fieldPosition="0">
          <references count="1">
            <reference field="4294967294" count="1" selected="0">
              <x v="0"/>
            </reference>
          </references>
        </pivotArea>
      </autoSortScope>
    </pivotField>
    <pivotField dataField="1" showAll="0"/>
    <pivotField showAll="0"/>
    <pivotField dataField="1" showAll="0"/>
    <pivotField dataField="1" showAll="0"/>
    <pivotField showAll="0"/>
    <pivotField showAll="0"/>
    <pivotField showAll="0"/>
    <pivotField showAll="0"/>
    <pivotField showAll="0"/>
    <pivotField showAll="0"/>
    <pivotField numFmtId="14" showAll="0"/>
    <pivotField showAll="0"/>
  </pivotFields>
  <rowFields count="1">
    <field x="2"/>
  </rowFields>
  <rowItems count="13">
    <i>
      <x v="3"/>
    </i>
    <i>
      <x v="10"/>
    </i>
    <i>
      <x v="1"/>
    </i>
    <i>
      <x v="6"/>
    </i>
    <i>
      <x v="7"/>
    </i>
    <i>
      <x v="8"/>
    </i>
    <i>
      <x v="9"/>
    </i>
    <i>
      <x v="4"/>
    </i>
    <i>
      <x v="11"/>
    </i>
    <i>
      <x/>
    </i>
    <i>
      <x v="5"/>
    </i>
    <i>
      <x v="2"/>
    </i>
    <i t="grand">
      <x/>
    </i>
  </rowItems>
  <colFields count="1">
    <field x="-2"/>
  </colFields>
  <colItems count="4">
    <i>
      <x/>
    </i>
    <i i="1">
      <x v="1"/>
    </i>
    <i i="2">
      <x v="2"/>
    </i>
    <i i="3">
      <x v="3"/>
    </i>
  </colItems>
  <dataFields count="4">
    <dataField name="Count of Product_Title" fld="1" subtotal="count" baseField="0" baseItem="0"/>
    <dataField name="Average of Product_Rating" fld="6" subtotal="average" baseField="2" baseItem="0" numFmtId="2"/>
    <dataField name="Average of Product_Price" fld="3" subtotal="average" baseField="2" baseItem="3" numFmtId="164"/>
    <dataField name="Average of discount" fld="5" subtotal="average" baseField="2" baseItem="6" numFmtId="10"/>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EF8DC-B404-43B6-A10A-1119202CDE18}">
  <dimension ref="A1:C30"/>
  <sheetViews>
    <sheetView tabSelected="1" topLeftCell="A16" workbookViewId="0">
      <selection activeCell="B1" sqref="B1"/>
    </sheetView>
  </sheetViews>
  <sheetFormatPr defaultRowHeight="14.5"/>
  <cols>
    <col min="1" max="1" width="26.08984375" customWidth="1"/>
    <col min="2" max="2" width="10.54296875" customWidth="1"/>
    <col min="3" max="3" width="33.1796875" customWidth="1"/>
  </cols>
  <sheetData>
    <row r="1" spans="1:2" ht="16.5">
      <c r="A1" s="17" t="s">
        <v>27</v>
      </c>
      <c r="B1" s="3"/>
    </row>
    <row r="3" spans="1:2">
      <c r="A3" t="s">
        <v>28</v>
      </c>
      <c r="B3">
        <v>623</v>
      </c>
    </row>
    <row r="4" spans="1:2">
      <c r="A4" t="s">
        <v>29</v>
      </c>
      <c r="B4">
        <v>16</v>
      </c>
    </row>
    <row r="5" spans="1:2">
      <c r="A5" t="s">
        <v>33</v>
      </c>
      <c r="B5">
        <v>0</v>
      </c>
    </row>
    <row r="6" spans="1:2">
      <c r="A6" t="s">
        <v>30</v>
      </c>
      <c r="B6">
        <v>0</v>
      </c>
    </row>
    <row r="7" spans="1:2">
      <c r="A7" t="s">
        <v>31</v>
      </c>
      <c r="B7">
        <v>0</v>
      </c>
    </row>
    <row r="8" spans="1:2">
      <c r="A8" t="s">
        <v>34</v>
      </c>
      <c r="B8">
        <v>6</v>
      </c>
    </row>
    <row r="9" spans="1:2">
      <c r="A9" t="s">
        <v>35</v>
      </c>
      <c r="B9">
        <v>44</v>
      </c>
    </row>
    <row r="10" spans="1:2">
      <c r="A10" t="s">
        <v>36</v>
      </c>
      <c r="B10">
        <v>44</v>
      </c>
    </row>
    <row r="11" spans="1:2">
      <c r="A11" t="s">
        <v>37</v>
      </c>
      <c r="B11">
        <v>38</v>
      </c>
    </row>
    <row r="12" spans="1:2">
      <c r="A12" t="s">
        <v>38</v>
      </c>
      <c r="B12">
        <v>0</v>
      </c>
    </row>
    <row r="13" spans="1:2">
      <c r="A13" t="s">
        <v>39</v>
      </c>
      <c r="B13">
        <v>0</v>
      </c>
    </row>
    <row r="14" spans="1:2">
      <c r="A14" t="s">
        <v>40</v>
      </c>
      <c r="B14">
        <v>0</v>
      </c>
    </row>
    <row r="15" spans="1:2">
      <c r="A15" t="s">
        <v>41</v>
      </c>
      <c r="B15">
        <v>0</v>
      </c>
    </row>
    <row r="16" spans="1:2">
      <c r="A16" t="s">
        <v>42</v>
      </c>
      <c r="B16">
        <v>0</v>
      </c>
    </row>
    <row r="17" spans="1:3">
      <c r="A17" t="s">
        <v>43</v>
      </c>
      <c r="B17">
        <v>0</v>
      </c>
    </row>
    <row r="18" spans="1:3">
      <c r="A18" t="s">
        <v>44</v>
      </c>
      <c r="B18">
        <v>0</v>
      </c>
    </row>
    <row r="20" spans="1:3">
      <c r="A20" s="16" t="s">
        <v>26</v>
      </c>
    </row>
    <row r="21" spans="1:3">
      <c r="B21" s="7" t="s">
        <v>16</v>
      </c>
      <c r="C21" s="7" t="s">
        <v>17</v>
      </c>
    </row>
    <row r="22" spans="1:3">
      <c r="A22" t="s">
        <v>0</v>
      </c>
      <c r="B22" t="s">
        <v>18</v>
      </c>
      <c r="C22" t="s">
        <v>19</v>
      </c>
    </row>
    <row r="23" spans="1:3">
      <c r="A23" t="s">
        <v>1</v>
      </c>
      <c r="B23" t="s">
        <v>18</v>
      </c>
      <c r="C23" t="s">
        <v>19</v>
      </c>
    </row>
    <row r="24" spans="1:3">
      <c r="A24" t="s">
        <v>2</v>
      </c>
      <c r="B24" t="s">
        <v>18</v>
      </c>
      <c r="C24" t="s">
        <v>19</v>
      </c>
    </row>
    <row r="25" spans="1:3">
      <c r="A25" t="s">
        <v>3</v>
      </c>
      <c r="B25" t="s">
        <v>18</v>
      </c>
      <c r="C25" t="s">
        <v>19</v>
      </c>
    </row>
    <row r="27" spans="1:3">
      <c r="A27" s="16" t="s">
        <v>20</v>
      </c>
    </row>
    <row r="28" spans="1:3">
      <c r="B28" s="7" t="s">
        <v>17</v>
      </c>
      <c r="C28" s="7" t="s">
        <v>21</v>
      </c>
    </row>
    <row r="29" spans="1:3">
      <c r="A29" t="s">
        <v>22</v>
      </c>
      <c r="B29" t="s">
        <v>23</v>
      </c>
      <c r="C29" t="s">
        <v>24</v>
      </c>
    </row>
    <row r="30" spans="1:3">
      <c r="A30" t="s">
        <v>32</v>
      </c>
      <c r="B30" t="s">
        <v>23</v>
      </c>
      <c r="C30"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B24F-A259-4EFA-8E05-3F1071A56E30}">
  <dimension ref="A1:X33"/>
  <sheetViews>
    <sheetView zoomScale="43" workbookViewId="0"/>
  </sheetViews>
  <sheetFormatPr defaultRowHeight="14.5"/>
  <cols>
    <col min="1" max="1" width="19.36328125" bestFit="1" customWidth="1"/>
    <col min="2" max="2" width="29.26953125" bestFit="1" customWidth="1"/>
    <col min="3" max="3" width="16.7265625" customWidth="1"/>
    <col min="4" max="4" width="19.36328125" bestFit="1" customWidth="1"/>
    <col min="5" max="5" width="29.90625" bestFit="1" customWidth="1"/>
    <col min="7" max="7" width="19.36328125" bestFit="1" customWidth="1"/>
    <col min="8" max="8" width="22.7265625" bestFit="1" customWidth="1"/>
    <col min="20" max="20" width="19.36328125" bestFit="1" customWidth="1"/>
    <col min="21" max="21" width="24.36328125" bestFit="1" customWidth="1"/>
    <col min="22" max="22" width="29.90625" bestFit="1" customWidth="1"/>
    <col min="23" max="23" width="28.81640625" bestFit="1" customWidth="1"/>
    <col min="24" max="24" width="22.7265625" bestFit="1" customWidth="1"/>
  </cols>
  <sheetData>
    <row r="1" spans="1:24" ht="15.5">
      <c r="A1" s="18" t="s">
        <v>45</v>
      </c>
    </row>
    <row r="2" spans="1:24">
      <c r="T2" s="4" t="s">
        <v>46</v>
      </c>
      <c r="U2" t="s">
        <v>48</v>
      </c>
      <c r="V2" t="s">
        <v>52</v>
      </c>
      <c r="W2" t="s">
        <v>51</v>
      </c>
      <c r="X2" t="s">
        <v>53</v>
      </c>
    </row>
    <row r="3" spans="1:24">
      <c r="T3" s="5" t="s">
        <v>12</v>
      </c>
      <c r="U3">
        <v>48</v>
      </c>
      <c r="V3" s="6">
        <v>4.1854166666666659</v>
      </c>
      <c r="W3" s="2">
        <v>19191.166666666668</v>
      </c>
      <c r="X3" s="1">
        <v>0.3074782608695652</v>
      </c>
    </row>
    <row r="4" spans="1:24">
      <c r="A4" s="4" t="s">
        <v>46</v>
      </c>
      <c r="B4" t="s">
        <v>49</v>
      </c>
      <c r="C4" s="12" t="s">
        <v>50</v>
      </c>
      <c r="T4" s="5" t="s">
        <v>5</v>
      </c>
      <c r="U4">
        <v>48</v>
      </c>
      <c r="V4" s="6">
        <v>4.1410256410256414</v>
      </c>
      <c r="W4" s="2">
        <v>68592.895833333328</v>
      </c>
      <c r="X4" s="1">
        <v>0.19541304347826086</v>
      </c>
    </row>
    <row r="5" spans="1:24">
      <c r="A5" s="5" t="s">
        <v>15</v>
      </c>
      <c r="B5">
        <v>96</v>
      </c>
      <c r="C5">
        <f>B5/SUM($B$5:$B$14)</f>
        <v>0.18181818181818182</v>
      </c>
      <c r="T5" s="5" t="s">
        <v>11</v>
      </c>
      <c r="U5">
        <v>48</v>
      </c>
      <c r="V5" s="6">
        <v>3.9956521739130424</v>
      </c>
      <c r="W5" s="2">
        <v>26617.041666666668</v>
      </c>
      <c r="X5" s="1">
        <v>0.27283333333333343</v>
      </c>
    </row>
    <row r="6" spans="1:24">
      <c r="A6" s="5" t="s">
        <v>10</v>
      </c>
      <c r="B6">
        <v>48</v>
      </c>
      <c r="C6">
        <f t="shared" ref="C6:C16" si="0">B6/SUM($B$5:$B$14)</f>
        <v>9.0909090909090912E-2</v>
      </c>
      <c r="T6" s="5" t="s">
        <v>6</v>
      </c>
      <c r="U6">
        <v>48</v>
      </c>
      <c r="V6" s="6">
        <v>3.9608695652173904</v>
      </c>
      <c r="W6" s="2">
        <v>2847.3125</v>
      </c>
      <c r="X6" s="1">
        <v>0.53097916666666667</v>
      </c>
    </row>
    <row r="7" spans="1:24">
      <c r="A7" s="5" t="s">
        <v>14</v>
      </c>
      <c r="B7">
        <v>48</v>
      </c>
      <c r="C7">
        <f t="shared" si="0"/>
        <v>9.0909090909090912E-2</v>
      </c>
      <c r="T7" s="5" t="s">
        <v>10</v>
      </c>
      <c r="U7">
        <v>48</v>
      </c>
      <c r="V7" s="6">
        <v>3.9521739130434774</v>
      </c>
      <c r="W7" s="2">
        <v>77991.155555555553</v>
      </c>
      <c r="X7" s="1">
        <v>0.45630232558139533</v>
      </c>
    </row>
    <row r="8" spans="1:24">
      <c r="A8" s="5" t="s">
        <v>13</v>
      </c>
      <c r="B8">
        <v>48</v>
      </c>
      <c r="C8">
        <f t="shared" si="0"/>
        <v>9.0909090909090912E-2</v>
      </c>
      <c r="T8" s="5" t="s">
        <v>8</v>
      </c>
      <c r="U8">
        <v>48</v>
      </c>
      <c r="V8" s="6">
        <v>3.9458333333333342</v>
      </c>
      <c r="W8" s="2">
        <v>25959.233958333334</v>
      </c>
      <c r="X8" s="1">
        <v>0.29752380952380952</v>
      </c>
    </row>
    <row r="9" spans="1:24">
      <c r="A9" s="5" t="s">
        <v>4</v>
      </c>
      <c r="B9">
        <v>48</v>
      </c>
      <c r="C9">
        <f t="shared" si="0"/>
        <v>9.0909090909090912E-2</v>
      </c>
      <c r="T9" s="5" t="s">
        <v>4</v>
      </c>
      <c r="U9">
        <v>48</v>
      </c>
      <c r="V9" s="6">
        <v>3.9425531914893606</v>
      </c>
      <c r="W9" s="2">
        <v>20528.40425531915</v>
      </c>
      <c r="X9" s="1">
        <v>0.21492307692307697</v>
      </c>
    </row>
    <row r="10" spans="1:24">
      <c r="A10" s="5" t="s">
        <v>7</v>
      </c>
      <c r="B10">
        <v>48</v>
      </c>
      <c r="C10">
        <f t="shared" si="0"/>
        <v>9.0909090909090912E-2</v>
      </c>
      <c r="T10" s="5" t="s">
        <v>7</v>
      </c>
      <c r="U10">
        <v>48</v>
      </c>
      <c r="V10" s="6">
        <v>3.9</v>
      </c>
      <c r="W10" s="2">
        <v>3943.9574468085107</v>
      </c>
      <c r="X10" s="1">
        <v>0.67638297872340425</v>
      </c>
    </row>
    <row r="11" spans="1:24">
      <c r="A11" s="5" t="s">
        <v>8</v>
      </c>
      <c r="B11">
        <v>48</v>
      </c>
      <c r="C11">
        <f t="shared" si="0"/>
        <v>9.0909090909090912E-2</v>
      </c>
      <c r="T11" s="5" t="s">
        <v>14</v>
      </c>
      <c r="U11">
        <v>48</v>
      </c>
      <c r="V11" s="6">
        <v>3.8916666666666657</v>
      </c>
      <c r="W11" s="2">
        <v>77242.416666666672</v>
      </c>
      <c r="X11" s="1">
        <v>0.40025000000000005</v>
      </c>
    </row>
    <row r="12" spans="1:24">
      <c r="A12" s="5" t="s">
        <v>6</v>
      </c>
      <c r="B12">
        <v>48</v>
      </c>
      <c r="C12">
        <f t="shared" si="0"/>
        <v>9.0909090909090912E-2</v>
      </c>
      <c r="T12" s="5" t="s">
        <v>9</v>
      </c>
      <c r="U12">
        <v>47</v>
      </c>
      <c r="V12" s="6">
        <v>3.8499999999999996</v>
      </c>
      <c r="W12" s="2">
        <v>2141.753617021277</v>
      </c>
      <c r="X12" s="1">
        <v>0.62633333333333319</v>
      </c>
    </row>
    <row r="13" spans="1:24">
      <c r="A13" s="5" t="s">
        <v>12</v>
      </c>
      <c r="B13">
        <v>48</v>
      </c>
      <c r="C13">
        <f t="shared" si="0"/>
        <v>9.0909090909090912E-2</v>
      </c>
      <c r="T13" s="5" t="s">
        <v>13</v>
      </c>
      <c r="U13">
        <v>48</v>
      </c>
      <c r="V13" s="6">
        <v>3.7733333333333334</v>
      </c>
      <c r="W13" s="2">
        <v>36453.914893617024</v>
      </c>
      <c r="X13" s="1">
        <v>0.38135897435897431</v>
      </c>
    </row>
    <row r="14" spans="1:24">
      <c r="A14" s="5" t="s">
        <v>5</v>
      </c>
      <c r="B14">
        <v>48</v>
      </c>
      <c r="C14">
        <f t="shared" si="0"/>
        <v>9.0909090909090912E-2</v>
      </c>
      <c r="T14" s="5" t="s">
        <v>15</v>
      </c>
      <c r="U14">
        <v>96</v>
      </c>
      <c r="V14" s="6">
        <v>3.6762499999999996</v>
      </c>
      <c r="W14" s="2">
        <v>3785.7083333333335</v>
      </c>
      <c r="X14" s="1">
        <v>0.45148936170212772</v>
      </c>
    </row>
    <row r="15" spans="1:24">
      <c r="A15" s="5" t="s">
        <v>11</v>
      </c>
      <c r="B15">
        <v>48</v>
      </c>
      <c r="C15">
        <f t="shared" si="0"/>
        <v>9.0909090909090912E-2</v>
      </c>
      <c r="T15" s="5" t="s">
        <v>47</v>
      </c>
      <c r="U15">
        <v>623</v>
      </c>
      <c r="V15" s="6">
        <v>3.9182905982905956</v>
      </c>
      <c r="W15" s="2">
        <v>28231.492139384114</v>
      </c>
      <c r="X15" s="1">
        <v>0.40946113989637267</v>
      </c>
    </row>
    <row r="16" spans="1:24">
      <c r="A16" s="5" t="s">
        <v>47</v>
      </c>
      <c r="B16">
        <v>576</v>
      </c>
      <c r="C16">
        <f t="shared" si="0"/>
        <v>1.0909090909090908</v>
      </c>
    </row>
    <row r="20" spans="1:8">
      <c r="A20" s="4" t="s">
        <v>46</v>
      </c>
      <c r="B20" s="2" t="s">
        <v>51</v>
      </c>
      <c r="D20" s="4" t="s">
        <v>46</v>
      </c>
      <c r="E20" s="6" t="s">
        <v>52</v>
      </c>
      <c r="G20" s="4" t="s">
        <v>46</v>
      </c>
      <c r="H20" s="1" t="s">
        <v>53</v>
      </c>
    </row>
    <row r="21" spans="1:8">
      <c r="A21" s="5" t="s">
        <v>10</v>
      </c>
      <c r="B21" s="2">
        <v>77991.155555555553</v>
      </c>
      <c r="D21" s="5" t="s">
        <v>12</v>
      </c>
      <c r="E21" s="6">
        <v>4.1854166666666659</v>
      </c>
      <c r="G21" s="5" t="s">
        <v>7</v>
      </c>
      <c r="H21" s="1">
        <v>0.67638297872340425</v>
      </c>
    </row>
    <row r="22" spans="1:8">
      <c r="A22" s="5" t="s">
        <v>14</v>
      </c>
      <c r="B22" s="2">
        <v>77242.416666666672</v>
      </c>
      <c r="D22" s="5" t="s">
        <v>5</v>
      </c>
      <c r="E22" s="6">
        <v>4.1410256410256414</v>
      </c>
      <c r="G22" s="5" t="s">
        <v>9</v>
      </c>
      <c r="H22" s="1">
        <v>0.62633333333333319</v>
      </c>
    </row>
    <row r="23" spans="1:8">
      <c r="A23" s="5" t="s">
        <v>5</v>
      </c>
      <c r="B23" s="2">
        <v>68592.895833333328</v>
      </c>
      <c r="D23" s="5" t="s">
        <v>11</v>
      </c>
      <c r="E23" s="6">
        <v>3.9956521739130424</v>
      </c>
      <c r="G23" s="5" t="s">
        <v>6</v>
      </c>
      <c r="H23" s="1">
        <v>0.53097916666666667</v>
      </c>
    </row>
    <row r="24" spans="1:8">
      <c r="A24" s="5" t="s">
        <v>13</v>
      </c>
      <c r="B24" s="2">
        <v>36453.914893617024</v>
      </c>
      <c r="D24" s="5" t="s">
        <v>6</v>
      </c>
      <c r="E24" s="6">
        <v>3.9608695652173904</v>
      </c>
      <c r="G24" s="5" t="s">
        <v>10</v>
      </c>
      <c r="H24" s="1">
        <v>0.45630232558139533</v>
      </c>
    </row>
    <row r="25" spans="1:8">
      <c r="A25" s="5" t="s">
        <v>11</v>
      </c>
      <c r="B25" s="2">
        <v>26617.041666666668</v>
      </c>
      <c r="D25" s="5" t="s">
        <v>10</v>
      </c>
      <c r="E25" s="6">
        <v>3.9521739130434774</v>
      </c>
      <c r="G25" s="5" t="s">
        <v>15</v>
      </c>
      <c r="H25" s="1">
        <v>0.45148936170212772</v>
      </c>
    </row>
    <row r="26" spans="1:8">
      <c r="A26" s="5" t="s">
        <v>8</v>
      </c>
      <c r="B26" s="2">
        <v>25959.233958333334</v>
      </c>
      <c r="D26" s="5" t="s">
        <v>8</v>
      </c>
      <c r="E26" s="6">
        <v>3.9458333333333342</v>
      </c>
      <c r="G26" s="5" t="s">
        <v>14</v>
      </c>
      <c r="H26" s="1">
        <v>0.40025000000000005</v>
      </c>
    </row>
    <row r="27" spans="1:8">
      <c r="A27" s="5" t="s">
        <v>4</v>
      </c>
      <c r="B27" s="2">
        <v>20528.40425531915</v>
      </c>
      <c r="D27" s="5" t="s">
        <v>4</v>
      </c>
      <c r="E27" s="6">
        <v>3.9425531914893606</v>
      </c>
      <c r="G27" s="5" t="s">
        <v>13</v>
      </c>
      <c r="H27" s="1">
        <v>0.38135897435897431</v>
      </c>
    </row>
    <row r="28" spans="1:8">
      <c r="A28" s="5" t="s">
        <v>12</v>
      </c>
      <c r="B28" s="2">
        <v>19191.166666666668</v>
      </c>
      <c r="D28" s="5" t="s">
        <v>7</v>
      </c>
      <c r="E28" s="6">
        <v>3.9</v>
      </c>
      <c r="G28" s="5" t="s">
        <v>12</v>
      </c>
      <c r="H28" s="1">
        <v>0.3074782608695652</v>
      </c>
    </row>
    <row r="29" spans="1:8">
      <c r="A29" s="5" t="s">
        <v>7</v>
      </c>
      <c r="B29" s="2">
        <v>3943.9574468085107</v>
      </c>
      <c r="D29" s="5" t="s">
        <v>14</v>
      </c>
      <c r="E29" s="6">
        <v>3.8916666666666657</v>
      </c>
      <c r="G29" s="5" t="s">
        <v>8</v>
      </c>
      <c r="H29" s="1">
        <v>0.29752380952380952</v>
      </c>
    </row>
    <row r="30" spans="1:8">
      <c r="A30" s="5" t="s">
        <v>15</v>
      </c>
      <c r="B30" s="2">
        <v>3785.7083333333335</v>
      </c>
      <c r="D30" s="5" t="s">
        <v>9</v>
      </c>
      <c r="E30" s="6">
        <v>3.8499999999999996</v>
      </c>
      <c r="G30" s="5" t="s">
        <v>11</v>
      </c>
      <c r="H30" s="1">
        <v>0.27283333333333343</v>
      </c>
    </row>
    <row r="31" spans="1:8">
      <c r="A31" s="5" t="s">
        <v>6</v>
      </c>
      <c r="B31" s="2">
        <v>2847.3125</v>
      </c>
      <c r="D31" s="5" t="s">
        <v>13</v>
      </c>
      <c r="E31" s="6">
        <v>3.7733333333333334</v>
      </c>
      <c r="G31" s="5" t="s">
        <v>4</v>
      </c>
      <c r="H31" s="1">
        <v>0.21492307692307697</v>
      </c>
    </row>
    <row r="32" spans="1:8">
      <c r="A32" s="5" t="s">
        <v>9</v>
      </c>
      <c r="B32" s="2">
        <v>2141.753617021277</v>
      </c>
      <c r="D32" s="5" t="s">
        <v>15</v>
      </c>
      <c r="E32" s="6">
        <v>3.6762499999999996</v>
      </c>
      <c r="G32" s="5" t="s">
        <v>5</v>
      </c>
      <c r="H32" s="1">
        <v>0.19541304347826086</v>
      </c>
    </row>
    <row r="33" spans="1:8">
      <c r="A33" s="5" t="s">
        <v>47</v>
      </c>
      <c r="B33" s="2">
        <v>28231.492139384114</v>
      </c>
      <c r="D33" s="5" t="s">
        <v>47</v>
      </c>
      <c r="E33" s="6">
        <v>3.9182905982905956</v>
      </c>
      <c r="G33" s="5" t="s">
        <v>47</v>
      </c>
      <c r="H33" s="1">
        <v>0.40946113989637267</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2CBB-E8AD-486B-A9A6-C846BAE79693}">
  <dimension ref="A1:C25"/>
  <sheetViews>
    <sheetView zoomScale="70" workbookViewId="0">
      <selection activeCell="B1" sqref="B1"/>
    </sheetView>
  </sheetViews>
  <sheetFormatPr defaultRowHeight="14.5"/>
  <cols>
    <col min="1" max="1" width="13.81640625" bestFit="1" customWidth="1"/>
    <col min="2" max="2" width="20" style="2" bestFit="1" customWidth="1"/>
    <col min="3" max="3" width="9.1796875" bestFit="1" customWidth="1"/>
  </cols>
  <sheetData>
    <row r="1" spans="1:3">
      <c r="A1" s="13" t="s">
        <v>69</v>
      </c>
      <c r="B1" s="14" t="s">
        <v>74</v>
      </c>
    </row>
    <row r="2" spans="1:3">
      <c r="A2" t="s">
        <v>71</v>
      </c>
      <c r="B2" s="2" t="e">
        <f>MIN(#REF!)</f>
        <v>#REF!</v>
      </c>
    </row>
    <row r="3" spans="1:3">
      <c r="A3" t="s">
        <v>72</v>
      </c>
      <c r="B3" s="2" t="e">
        <f>MAX(#REF!)</f>
        <v>#REF!</v>
      </c>
    </row>
    <row r="4" spans="1:3">
      <c r="A4" t="s">
        <v>58</v>
      </c>
      <c r="B4" s="2" t="e">
        <f>AVERAGE(#REF!)</f>
        <v>#REF!</v>
      </c>
    </row>
    <row r="5" spans="1:3">
      <c r="A5" t="s">
        <v>73</v>
      </c>
      <c r="B5" s="2" t="e">
        <f>MEDIAN(#REF!)</f>
        <v>#REF!</v>
      </c>
    </row>
    <row r="7" spans="1:3">
      <c r="B7"/>
    </row>
    <row r="8" spans="1:3">
      <c r="A8" s="4" t="s">
        <v>46</v>
      </c>
      <c r="B8" t="s">
        <v>48</v>
      </c>
      <c r="C8" t="s">
        <v>81</v>
      </c>
    </row>
    <row r="9" spans="1:3">
      <c r="A9" s="5" t="s">
        <v>78</v>
      </c>
      <c r="B9">
        <v>323</v>
      </c>
      <c r="C9" s="1">
        <v>0.5184590690208668</v>
      </c>
    </row>
    <row r="10" spans="1:3">
      <c r="A10" s="5" t="s">
        <v>75</v>
      </c>
      <c r="B10">
        <v>148</v>
      </c>
      <c r="C10" s="1">
        <v>0.2375601926163724</v>
      </c>
    </row>
    <row r="11" spans="1:3">
      <c r="A11" s="5" t="s">
        <v>77</v>
      </c>
      <c r="B11">
        <v>71</v>
      </c>
      <c r="C11" s="1">
        <v>0.11396468699839486</v>
      </c>
    </row>
    <row r="12" spans="1:3">
      <c r="A12" s="5" t="s">
        <v>76</v>
      </c>
      <c r="B12">
        <v>49</v>
      </c>
      <c r="C12" s="1">
        <v>7.8651685393258425E-2</v>
      </c>
    </row>
    <row r="13" spans="1:3">
      <c r="A13" s="5" t="s">
        <v>79</v>
      </c>
      <c r="B13">
        <v>26</v>
      </c>
      <c r="C13" s="1">
        <v>4.1733547351524881E-2</v>
      </c>
    </row>
    <row r="14" spans="1:3">
      <c r="A14" s="5" t="s">
        <v>80</v>
      </c>
      <c r="B14">
        <v>6</v>
      </c>
      <c r="C14" s="1">
        <v>9.630818619582664E-3</v>
      </c>
    </row>
    <row r="15" spans="1:3">
      <c r="A15" s="5" t="s">
        <v>47</v>
      </c>
      <c r="B15">
        <v>623</v>
      </c>
      <c r="C15" s="1">
        <v>1</v>
      </c>
    </row>
    <row r="16" spans="1:3">
      <c r="B16"/>
    </row>
    <row r="17" spans="2:2">
      <c r="B17"/>
    </row>
    <row r="18" spans="2:2">
      <c r="B18"/>
    </row>
    <row r="19" spans="2:2">
      <c r="B19"/>
    </row>
    <row r="20" spans="2:2">
      <c r="B20"/>
    </row>
    <row r="21" spans="2:2">
      <c r="B21"/>
    </row>
    <row r="22" spans="2:2">
      <c r="B22"/>
    </row>
    <row r="23" spans="2:2">
      <c r="B23"/>
    </row>
    <row r="24" spans="2:2">
      <c r="B24"/>
    </row>
    <row r="25" spans="2:2">
      <c r="B25"/>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BAA78-DE3A-4EF0-8574-4AEBD7A39F11}">
  <dimension ref="A1:B26"/>
  <sheetViews>
    <sheetView zoomScale="59" zoomScaleNormal="70" workbookViewId="0">
      <selection activeCell="B22" sqref="B22"/>
    </sheetView>
  </sheetViews>
  <sheetFormatPr defaultRowHeight="14.5"/>
  <cols>
    <col min="1" max="1" width="24.453125" customWidth="1"/>
    <col min="2" max="2" width="30.08984375" customWidth="1"/>
  </cols>
  <sheetData>
    <row r="1" spans="1:2">
      <c r="A1" s="15" t="s">
        <v>116</v>
      </c>
      <c r="B1" s="15" t="s">
        <v>117</v>
      </c>
    </row>
    <row r="2" spans="1:2">
      <c r="A2" t="s">
        <v>60</v>
      </c>
      <c r="B2" s="1" t="e">
        <f>AVERAGE(#REF!)</f>
        <v>#REF!</v>
      </c>
    </row>
    <row r="3" spans="1:2">
      <c r="A3" t="s">
        <v>128</v>
      </c>
      <c r="B3" s="1" t="e">
        <f>MIN(#REF!)</f>
        <v>#REF!</v>
      </c>
    </row>
    <row r="4" spans="1:2">
      <c r="A4" t="s">
        <v>124</v>
      </c>
      <c r="B4" s="1" t="e">
        <f>MAX(#REF!)</f>
        <v>#REF!</v>
      </c>
    </row>
    <row r="6" spans="1:2">
      <c r="A6" s="4" t="s">
        <v>46</v>
      </c>
      <c r="B6" t="s">
        <v>53</v>
      </c>
    </row>
    <row r="7" spans="1:2">
      <c r="A7" s="5" t="s">
        <v>7</v>
      </c>
      <c r="B7" s="1">
        <v>0.67638297872340425</v>
      </c>
    </row>
    <row r="8" spans="1:2">
      <c r="A8" s="5" t="s">
        <v>9</v>
      </c>
      <c r="B8" s="1">
        <v>0.62633333333333319</v>
      </c>
    </row>
    <row r="9" spans="1:2">
      <c r="A9" s="5" t="s">
        <v>6</v>
      </c>
      <c r="B9" s="1">
        <v>0.53097916666666667</v>
      </c>
    </row>
    <row r="10" spans="1:2">
      <c r="A10" s="5" t="s">
        <v>10</v>
      </c>
      <c r="B10" s="1">
        <v>0.45630232558139533</v>
      </c>
    </row>
    <row r="11" spans="1:2">
      <c r="A11" s="5" t="s">
        <v>15</v>
      </c>
      <c r="B11" s="1">
        <v>0.45148936170212772</v>
      </c>
    </row>
    <row r="12" spans="1:2">
      <c r="A12" s="5" t="s">
        <v>14</v>
      </c>
      <c r="B12" s="1">
        <v>0.40025000000000005</v>
      </c>
    </row>
    <row r="13" spans="1:2">
      <c r="A13" s="5" t="s">
        <v>13</v>
      </c>
      <c r="B13" s="1">
        <v>0.38135897435897431</v>
      </c>
    </row>
    <row r="14" spans="1:2">
      <c r="A14" s="5" t="s">
        <v>12</v>
      </c>
      <c r="B14" s="1">
        <v>0.3074782608695652</v>
      </c>
    </row>
    <row r="15" spans="1:2">
      <c r="A15" s="5" t="s">
        <v>8</v>
      </c>
      <c r="B15" s="1">
        <v>0.29752380952380952</v>
      </c>
    </row>
    <row r="16" spans="1:2">
      <c r="A16" s="5" t="s">
        <v>11</v>
      </c>
      <c r="B16" s="1">
        <v>0.27283333333333343</v>
      </c>
    </row>
    <row r="17" spans="1:2">
      <c r="A17" s="5" t="s">
        <v>47</v>
      </c>
      <c r="B17" s="1">
        <v>0.44475101214574891</v>
      </c>
    </row>
    <row r="19" spans="1:2">
      <c r="A19" s="4" t="s">
        <v>46</v>
      </c>
      <c r="B19" t="s">
        <v>52</v>
      </c>
    </row>
    <row r="20" spans="1:2">
      <c r="A20" s="5" t="s">
        <v>118</v>
      </c>
      <c r="B20" s="6">
        <v>4.2098039215686276</v>
      </c>
    </row>
    <row r="21" spans="1:2">
      <c r="A21" s="5" t="s">
        <v>119</v>
      </c>
      <c r="B21" s="6">
        <v>4.030188679245283</v>
      </c>
    </row>
    <row r="22" spans="1:2">
      <c r="A22" s="5" t="s">
        <v>120</v>
      </c>
      <c r="B22" s="6">
        <v>4.0053763440860211</v>
      </c>
    </row>
    <row r="23" spans="1:2">
      <c r="A23" s="5" t="s">
        <v>123</v>
      </c>
      <c r="B23" s="6">
        <v>3.990697674418604</v>
      </c>
    </row>
    <row r="24" spans="1:2">
      <c r="A24" s="5" t="s">
        <v>121</v>
      </c>
      <c r="B24" s="6">
        <v>3.9520270270270261</v>
      </c>
    </row>
    <row r="25" spans="1:2">
      <c r="A25" s="5" t="s">
        <v>122</v>
      </c>
      <c r="B25" s="6">
        <v>3.73045685279188</v>
      </c>
    </row>
    <row r="26" spans="1:2">
      <c r="A26" s="5" t="s">
        <v>47</v>
      </c>
      <c r="B26" s="6">
        <v>3.9182905982905964</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76B0-47A4-4393-B528-ED119AF91E55}">
  <dimension ref="A1:E28"/>
  <sheetViews>
    <sheetView zoomScale="69" workbookViewId="0"/>
  </sheetViews>
  <sheetFormatPr defaultRowHeight="14.5"/>
  <cols>
    <col min="1" max="1" width="16" bestFit="1" customWidth="1"/>
    <col min="2" max="2" width="24.90625" bestFit="1" customWidth="1"/>
    <col min="3" max="3" width="20" bestFit="1" customWidth="1"/>
    <col min="4" max="4" width="14.7265625" bestFit="1" customWidth="1"/>
    <col min="5" max="5" width="21.54296875" bestFit="1" customWidth="1"/>
  </cols>
  <sheetData>
    <row r="1" spans="1:5">
      <c r="A1" s="13" t="s">
        <v>93</v>
      </c>
      <c r="B1" s="15" t="s">
        <v>70</v>
      </c>
      <c r="C1" s="11"/>
    </row>
    <row r="2" spans="1:5">
      <c r="A2" t="s">
        <v>59</v>
      </c>
      <c r="B2" s="8" t="e">
        <f>AVERAGE(#REF!)</f>
        <v>#REF!</v>
      </c>
      <c r="C2" s="11"/>
    </row>
    <row r="3" spans="1:5">
      <c r="A3" t="s">
        <v>94</v>
      </c>
      <c r="B3" s="8" t="e">
        <f>MIN(#REF!)</f>
        <v>#REF!</v>
      </c>
      <c r="C3" s="11"/>
    </row>
    <row r="4" spans="1:5">
      <c r="A4" s="9" t="s">
        <v>95</v>
      </c>
      <c r="B4" s="10" t="e">
        <f>MAX(#REF!)</f>
        <v>#REF!</v>
      </c>
      <c r="C4" s="11"/>
    </row>
    <row r="6" spans="1:5">
      <c r="A6" s="4" t="s">
        <v>96</v>
      </c>
      <c r="B6" t="s">
        <v>136</v>
      </c>
      <c r="C6" t="s">
        <v>137</v>
      </c>
    </row>
    <row r="7" spans="1:5">
      <c r="A7" t="s">
        <v>99</v>
      </c>
      <c r="B7">
        <v>279</v>
      </c>
      <c r="C7" s="1">
        <v>0.4478330658105939</v>
      </c>
    </row>
    <row r="8" spans="1:5">
      <c r="A8" t="s">
        <v>98</v>
      </c>
      <c r="B8">
        <v>214</v>
      </c>
      <c r="C8" s="1">
        <v>0.3434991974317817</v>
      </c>
    </row>
    <row r="9" spans="1:5">
      <c r="A9" t="s">
        <v>100</v>
      </c>
      <c r="B9">
        <v>63</v>
      </c>
      <c r="C9" s="1">
        <v>0.10112359550561797</v>
      </c>
    </row>
    <row r="10" spans="1:5">
      <c r="A10" t="s">
        <v>102</v>
      </c>
      <c r="B10">
        <v>38</v>
      </c>
      <c r="C10" s="1">
        <v>6.0995184590690206E-2</v>
      </c>
    </row>
    <row r="11" spans="1:5">
      <c r="A11" t="s">
        <v>97</v>
      </c>
      <c r="B11">
        <v>21</v>
      </c>
      <c r="C11" s="1">
        <v>3.3707865168539325E-2</v>
      </c>
    </row>
    <row r="12" spans="1:5">
      <c r="A12" t="s">
        <v>101</v>
      </c>
      <c r="B12">
        <v>8</v>
      </c>
      <c r="C12" s="1">
        <v>1.2841091492776886E-2</v>
      </c>
    </row>
    <row r="13" spans="1:5">
      <c r="A13" t="s">
        <v>47</v>
      </c>
      <c r="B13">
        <v>623</v>
      </c>
      <c r="C13" s="1">
        <v>1</v>
      </c>
    </row>
    <row r="15" spans="1:5">
      <c r="A15" s="4" t="s">
        <v>104</v>
      </c>
      <c r="B15" t="s">
        <v>52</v>
      </c>
      <c r="D15" s="4" t="s">
        <v>96</v>
      </c>
      <c r="E15" t="s">
        <v>103</v>
      </c>
    </row>
    <row r="16" spans="1:5">
      <c r="A16" s="5" t="s">
        <v>12</v>
      </c>
      <c r="B16" s="6">
        <v>4.1854166666666659</v>
      </c>
      <c r="D16" s="5" t="s">
        <v>99</v>
      </c>
      <c r="E16" s="6">
        <v>7996.2437275985667</v>
      </c>
    </row>
    <row r="17" spans="1:5">
      <c r="A17" s="5" t="s">
        <v>5</v>
      </c>
      <c r="B17" s="6">
        <v>4.1410256410256414</v>
      </c>
      <c r="D17" s="5" t="s">
        <v>98</v>
      </c>
      <c r="E17" s="6">
        <v>4013.0607476635514</v>
      </c>
    </row>
    <row r="18" spans="1:5">
      <c r="A18" s="5" t="s">
        <v>11</v>
      </c>
      <c r="B18" s="6">
        <v>3.9956521739130424</v>
      </c>
      <c r="D18" s="5" t="s">
        <v>100</v>
      </c>
      <c r="E18" s="6">
        <v>887.17460317460313</v>
      </c>
    </row>
    <row r="19" spans="1:5">
      <c r="A19" s="5" t="s">
        <v>6</v>
      </c>
      <c r="B19" s="6">
        <v>3.9608695652173904</v>
      </c>
      <c r="D19" s="5" t="s">
        <v>97</v>
      </c>
      <c r="E19" s="6">
        <v>9.7619047619047628</v>
      </c>
    </row>
    <row r="20" spans="1:5">
      <c r="A20" s="5" t="s">
        <v>10</v>
      </c>
      <c r="B20" s="6">
        <v>3.9521739130434774</v>
      </c>
      <c r="D20" s="5" t="s">
        <v>101</v>
      </c>
      <c r="E20" s="6">
        <v>7.375</v>
      </c>
    </row>
    <row r="21" spans="1:5">
      <c r="A21" s="5" t="s">
        <v>8</v>
      </c>
      <c r="B21" s="6">
        <v>3.9458333333333342</v>
      </c>
      <c r="D21" s="5" t="s">
        <v>102</v>
      </c>
      <c r="E21" s="6">
        <v>0</v>
      </c>
    </row>
    <row r="22" spans="1:5">
      <c r="A22" s="5" t="s">
        <v>4</v>
      </c>
      <c r="B22" s="6">
        <v>3.9425531914893606</v>
      </c>
      <c r="D22" s="5" t="s">
        <v>47</v>
      </c>
      <c r="E22" s="6">
        <v>5049.6035313001603</v>
      </c>
    </row>
    <row r="23" spans="1:5">
      <c r="A23" s="5" t="s">
        <v>7</v>
      </c>
      <c r="B23" s="6">
        <v>3.9</v>
      </c>
    </row>
    <row r="24" spans="1:5">
      <c r="A24" s="5" t="s">
        <v>14</v>
      </c>
      <c r="B24" s="6">
        <v>3.8916666666666657</v>
      </c>
    </row>
    <row r="25" spans="1:5">
      <c r="A25" s="5" t="s">
        <v>9</v>
      </c>
      <c r="B25" s="6">
        <v>3.8499999999999996</v>
      </c>
    </row>
    <row r="26" spans="1:5">
      <c r="A26" s="5" t="s">
        <v>13</v>
      </c>
      <c r="B26" s="6">
        <v>3.7733333333333334</v>
      </c>
    </row>
    <row r="27" spans="1:5">
      <c r="A27" s="5" t="s">
        <v>15</v>
      </c>
      <c r="B27" s="6">
        <v>3.6762499999999996</v>
      </c>
    </row>
    <row r="28" spans="1:5">
      <c r="A28" s="5" t="s">
        <v>47</v>
      </c>
      <c r="B28" s="6">
        <v>3.9182905982905956</v>
      </c>
    </row>
  </sheetData>
  <pageMargins left="0.7" right="0.7" top="0.75" bottom="0.75" header="0.3" footer="0.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0EEC8-17F3-4923-9F0A-6C0A30B7C246}">
  <dimension ref="A1:C18"/>
  <sheetViews>
    <sheetView workbookViewId="0"/>
  </sheetViews>
  <sheetFormatPr defaultRowHeight="14.5"/>
  <cols>
    <col min="1" max="1" width="26.54296875" customWidth="1"/>
    <col min="2" max="2" width="41.08984375" customWidth="1"/>
    <col min="3" max="3" width="55.26953125" customWidth="1"/>
  </cols>
  <sheetData>
    <row r="1" spans="1:3">
      <c r="A1" s="16" t="s">
        <v>54</v>
      </c>
      <c r="B1" s="16" t="s">
        <v>55</v>
      </c>
      <c r="C1" s="16" t="s">
        <v>56</v>
      </c>
    </row>
    <row r="2" spans="1:3">
      <c r="A2" t="s">
        <v>57</v>
      </c>
      <c r="B2" t="s">
        <v>61</v>
      </c>
      <c r="C2" t="s">
        <v>62</v>
      </c>
    </row>
    <row r="3" spans="1:3">
      <c r="A3" t="s">
        <v>58</v>
      </c>
      <c r="B3" t="s">
        <v>63</v>
      </c>
      <c r="C3" t="s">
        <v>66</v>
      </c>
    </row>
    <row r="4" spans="1:3">
      <c r="A4" t="s">
        <v>59</v>
      </c>
      <c r="B4" t="s">
        <v>64</v>
      </c>
      <c r="C4" t="s">
        <v>67</v>
      </c>
    </row>
    <row r="5" spans="1:3">
      <c r="A5" t="s">
        <v>60</v>
      </c>
      <c r="B5" t="s">
        <v>65</v>
      </c>
      <c r="C5" t="s">
        <v>68</v>
      </c>
    </row>
    <row r="6" spans="1:3">
      <c r="A6" t="s">
        <v>71</v>
      </c>
      <c r="B6" t="s">
        <v>83</v>
      </c>
      <c r="C6" t="s">
        <v>88</v>
      </c>
    </row>
    <row r="7" spans="1:3">
      <c r="A7" t="s">
        <v>72</v>
      </c>
      <c r="B7" t="s">
        <v>84</v>
      </c>
      <c r="C7" t="s">
        <v>89</v>
      </c>
    </row>
    <row r="8" spans="1:3">
      <c r="A8" t="s">
        <v>58</v>
      </c>
      <c r="B8" t="s">
        <v>85</v>
      </c>
      <c r="C8" t="s">
        <v>90</v>
      </c>
    </row>
    <row r="9" spans="1:3">
      <c r="A9" t="s">
        <v>73</v>
      </c>
      <c r="B9" t="s">
        <v>86</v>
      </c>
      <c r="C9" t="s">
        <v>91</v>
      </c>
    </row>
    <row r="10" spans="1:3">
      <c r="A10" t="s">
        <v>82</v>
      </c>
      <c r="B10" t="s">
        <v>87</v>
      </c>
      <c r="C10" t="s">
        <v>92</v>
      </c>
    </row>
    <row r="11" spans="1:3">
      <c r="A11" t="s">
        <v>59</v>
      </c>
      <c r="B11" t="s">
        <v>112</v>
      </c>
      <c r="C11" t="s">
        <v>108</v>
      </c>
    </row>
    <row r="12" spans="1:3">
      <c r="A12" t="s">
        <v>105</v>
      </c>
      <c r="B12" t="s">
        <v>113</v>
      </c>
      <c r="C12" t="s">
        <v>109</v>
      </c>
    </row>
    <row r="13" spans="1:3">
      <c r="A13" t="s">
        <v>106</v>
      </c>
      <c r="B13" t="s">
        <v>115</v>
      </c>
      <c r="C13" t="s">
        <v>110</v>
      </c>
    </row>
    <row r="14" spans="1:3">
      <c r="A14" t="s">
        <v>107</v>
      </c>
      <c r="B14" t="s">
        <v>114</v>
      </c>
      <c r="C14" t="s">
        <v>111</v>
      </c>
    </row>
    <row r="15" spans="1:3">
      <c r="A15" t="s">
        <v>60</v>
      </c>
      <c r="B15" t="s">
        <v>133</v>
      </c>
      <c r="C15" t="s">
        <v>125</v>
      </c>
    </row>
    <row r="16" spans="1:3">
      <c r="A16" t="s">
        <v>124</v>
      </c>
      <c r="B16" t="s">
        <v>131</v>
      </c>
      <c r="C16" t="s">
        <v>126</v>
      </c>
    </row>
    <row r="17" spans="1:3">
      <c r="A17" t="s">
        <v>129</v>
      </c>
      <c r="B17" t="s">
        <v>132</v>
      </c>
      <c r="C17" t="s">
        <v>130</v>
      </c>
    </row>
    <row r="18" spans="1:3">
      <c r="A18" t="s">
        <v>134</v>
      </c>
      <c r="B18" t="s">
        <v>135</v>
      </c>
      <c r="C18" t="s">
        <v>127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1FB96-AEC4-4F25-8603-FFC103C1C996}">
  <dimension ref="A1:E17"/>
  <sheetViews>
    <sheetView zoomScale="86" workbookViewId="0">
      <selection activeCell="D20" sqref="D20"/>
    </sheetView>
  </sheetViews>
  <sheetFormatPr defaultRowHeight="14.5"/>
  <cols>
    <col min="1" max="1" width="24.36328125" customWidth="1"/>
    <col min="2" max="2" width="20.26953125" bestFit="1" customWidth="1"/>
    <col min="3" max="3" width="23.81640625" bestFit="1" customWidth="1"/>
    <col min="4" max="4" width="22.54296875" bestFit="1" customWidth="1"/>
    <col min="5" max="5" width="17.81640625" bestFit="1" customWidth="1"/>
  </cols>
  <sheetData>
    <row r="1" spans="1:5">
      <c r="A1" s="19" t="s">
        <v>138</v>
      </c>
    </row>
    <row r="4" spans="1:5">
      <c r="A4" s="4" t="s">
        <v>46</v>
      </c>
      <c r="B4" t="s">
        <v>48</v>
      </c>
      <c r="C4" t="s">
        <v>52</v>
      </c>
      <c r="D4" t="s">
        <v>51</v>
      </c>
      <c r="E4" t="s">
        <v>53</v>
      </c>
    </row>
    <row r="5" spans="1:5">
      <c r="A5" s="5" t="s">
        <v>15</v>
      </c>
      <c r="B5">
        <v>96</v>
      </c>
      <c r="C5" s="6">
        <v>3.6762499999999996</v>
      </c>
      <c r="D5" s="2">
        <v>3785.7083333333335</v>
      </c>
      <c r="E5" s="1">
        <v>0.45148936170212772</v>
      </c>
    </row>
    <row r="6" spans="1:5">
      <c r="A6" s="5" t="s">
        <v>10</v>
      </c>
      <c r="B6">
        <v>48</v>
      </c>
      <c r="C6" s="6">
        <v>3.9521739130434774</v>
      </c>
      <c r="D6" s="2">
        <v>77991.155555555553</v>
      </c>
      <c r="E6" s="1">
        <v>0.45630232558139533</v>
      </c>
    </row>
    <row r="7" spans="1:5">
      <c r="A7" s="5" t="s">
        <v>14</v>
      </c>
      <c r="B7">
        <v>48</v>
      </c>
      <c r="C7" s="6">
        <v>3.8916666666666657</v>
      </c>
      <c r="D7" s="2">
        <v>77242.416666666672</v>
      </c>
      <c r="E7" s="1">
        <v>0.40025000000000005</v>
      </c>
    </row>
    <row r="8" spans="1:5">
      <c r="A8" s="5" t="s">
        <v>11</v>
      </c>
      <c r="B8">
        <v>48</v>
      </c>
      <c r="C8" s="6">
        <v>3.9956521739130424</v>
      </c>
      <c r="D8" s="2">
        <v>26617.041666666668</v>
      </c>
      <c r="E8" s="1">
        <v>0.27283333333333343</v>
      </c>
    </row>
    <row r="9" spans="1:5">
      <c r="A9" s="5" t="s">
        <v>4</v>
      </c>
      <c r="B9">
        <v>48</v>
      </c>
      <c r="C9" s="6">
        <v>3.9425531914893606</v>
      </c>
      <c r="D9" s="2">
        <v>20528.40425531915</v>
      </c>
      <c r="E9" s="1">
        <v>0.21492307692307697</v>
      </c>
    </row>
    <row r="10" spans="1:5">
      <c r="A10" s="5" t="s">
        <v>7</v>
      </c>
      <c r="B10">
        <v>48</v>
      </c>
      <c r="C10" s="6">
        <v>3.9</v>
      </c>
      <c r="D10" s="2">
        <v>3943.9574468085107</v>
      </c>
      <c r="E10" s="1">
        <v>0.67638297872340425</v>
      </c>
    </row>
    <row r="11" spans="1:5">
      <c r="A11" s="5" t="s">
        <v>8</v>
      </c>
      <c r="B11">
        <v>48</v>
      </c>
      <c r="C11" s="6">
        <v>3.9458333333333342</v>
      </c>
      <c r="D11" s="2">
        <v>25959.233958333334</v>
      </c>
      <c r="E11" s="1">
        <v>0.29752380952380952</v>
      </c>
    </row>
    <row r="12" spans="1:5">
      <c r="A12" s="5" t="s">
        <v>6</v>
      </c>
      <c r="B12">
        <v>48</v>
      </c>
      <c r="C12" s="6">
        <v>3.9608695652173904</v>
      </c>
      <c r="D12" s="2">
        <v>2847.3125</v>
      </c>
      <c r="E12" s="1">
        <v>0.53097916666666667</v>
      </c>
    </row>
    <row r="13" spans="1:5">
      <c r="A13" s="5" t="s">
        <v>12</v>
      </c>
      <c r="B13">
        <v>48</v>
      </c>
      <c r="C13" s="6">
        <v>4.1854166666666659</v>
      </c>
      <c r="D13" s="2">
        <v>19191.166666666668</v>
      </c>
      <c r="E13" s="1">
        <v>0.3074782608695652</v>
      </c>
    </row>
    <row r="14" spans="1:5">
      <c r="A14" s="5" t="s">
        <v>13</v>
      </c>
      <c r="B14">
        <v>48</v>
      </c>
      <c r="C14" s="6">
        <v>3.7733333333333334</v>
      </c>
      <c r="D14" s="2">
        <v>36453.914893617024</v>
      </c>
      <c r="E14" s="1">
        <v>0.38135897435897431</v>
      </c>
    </row>
    <row r="15" spans="1:5">
      <c r="A15" s="5" t="s">
        <v>5</v>
      </c>
      <c r="B15">
        <v>48</v>
      </c>
      <c r="C15" s="6">
        <v>4.1410256410256414</v>
      </c>
      <c r="D15" s="2">
        <v>68592.895833333328</v>
      </c>
      <c r="E15" s="1">
        <v>0.19541304347826086</v>
      </c>
    </row>
    <row r="16" spans="1:5">
      <c r="A16" s="5" t="s">
        <v>9</v>
      </c>
      <c r="B16">
        <v>47</v>
      </c>
      <c r="C16" s="6">
        <v>3.8499999999999996</v>
      </c>
      <c r="D16" s="2">
        <v>2141.753617021277</v>
      </c>
      <c r="E16" s="1">
        <v>0.62633333333333319</v>
      </c>
    </row>
    <row r="17" spans="1:5">
      <c r="A17" s="5" t="s">
        <v>47</v>
      </c>
      <c r="B17">
        <v>623</v>
      </c>
      <c r="C17" s="6">
        <v>3.9182905982905956</v>
      </c>
      <c r="D17" s="2">
        <v>28231.492139384114</v>
      </c>
      <c r="E17" s="1">
        <v>0.40946113989637267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Data_quality</vt:lpstr>
      <vt:lpstr>Category_Analysis</vt:lpstr>
      <vt:lpstr>Price Analysis</vt:lpstr>
      <vt:lpstr>Discount Analysis</vt:lpstr>
      <vt:lpstr>Rating Analysis</vt:lpstr>
      <vt:lpstr>Insights</vt:lpstr>
      <vt:lpstr>Pivot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Namitha P</dc:creator>
  <cp:lastModifiedBy>Namitha P</cp:lastModifiedBy>
  <dcterms:created xsi:type="dcterms:W3CDTF">2026-08-26T16:14:04Z</dcterms:created>
  <dcterms:modified xsi:type="dcterms:W3CDTF">2026-09-22T12:50:54Z</dcterms:modified>
</cp:coreProperties>
</file>